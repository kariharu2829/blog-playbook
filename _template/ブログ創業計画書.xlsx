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創業計画書" sheetId="2" state="visible" r:id="rId4"/>
    <sheet name="逆算・見通し" sheetId="3" state="visible" r:id="rId5"/>
    <sheet name="案件評価表" sheetId="4" state="visible" r:id="rId6"/>
    <sheet name="KW一覧" sheetId="5" state="visible" r:id="rId7"/>
    <sheet name="記事一覧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WenQuanYi Zen Hei"/>
            <family val="2"/>
          </rPr>
          <t xml:space="preserve">発生ではなく確定ベース。ステップ</t>
        </r>
        <r>
          <rPr>
            <sz val="10"/>
            <rFont val="Arial"/>
            <family val="2"/>
          </rPr>
          <t xml:space="preserve">0</t>
        </r>
      </text>
    </comment>
    <comment ref="A17" authorId="0">
      <text>
        <r>
          <rPr>
            <sz val="10"/>
            <rFont val="WenQuanYi Zen Hei"/>
            <family val="2"/>
          </rPr>
          <t xml:space="preserve">公庫の「過去の事業経験」に対応</t>
        </r>
      </text>
    </comment>
    <comment ref="A19" authorId="0">
      <text>
        <r>
          <rPr>
            <sz val="10"/>
            <rFont val="WenQuanYi Zen Hei"/>
            <family val="2"/>
          </rPr>
          <t xml:space="preserve">契約中のサービス、所有している製品、家庭環境、職歴など「実体験として書けるもの」を漏れなく。ステップ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で案件と照らす</t>
        </r>
      </text>
    </comment>
    <comment ref="A27" authorId="0">
      <text>
        <r>
          <rPr>
            <sz val="10"/>
            <rFont val="WenQuanYi Zen Hei"/>
            <family val="2"/>
          </rPr>
          <t xml:space="preserve">主力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件・サブ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件まで。ステップ</t>
        </r>
        <r>
          <rPr>
            <sz val="10"/>
            <rFont val="Arial"/>
            <family val="2"/>
          </rPr>
          <t xml:space="preserve">1</t>
        </r>
      </text>
    </comment>
    <comment ref="A28" authorId="0">
      <text>
        <r>
          <rPr>
            <sz val="10"/>
            <rFont val="WenQuanYi Zen Hei"/>
            <family val="2"/>
          </rPr>
          <t xml:space="preserve">主力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件・サブ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件まで。ステップ</t>
        </r>
        <r>
          <rPr>
            <sz val="10"/>
            <rFont val="Arial"/>
            <family val="2"/>
          </rPr>
          <t xml:space="preserve">1</t>
        </r>
      </text>
    </comment>
    <comment ref="A29" authorId="0">
      <text>
        <r>
          <rPr>
            <sz val="10"/>
            <rFont val="WenQuanYi Zen Hei"/>
            <family val="2"/>
          </rPr>
          <t xml:space="preserve">主力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件・サブ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件まで。ステップ</t>
        </r>
        <r>
          <rPr>
            <sz val="10"/>
            <rFont val="Arial"/>
            <family val="2"/>
          </rPr>
          <t xml:space="preserve">1</t>
        </r>
      </text>
    </comment>
    <comment ref="A31" authorId="0">
      <text>
        <r>
          <rPr>
            <sz val="10"/>
            <rFont val="Arial"/>
            <family val="2"/>
          </rPr>
          <t xml:space="preserve">AI</t>
        </r>
        <r>
          <rPr>
            <sz val="10"/>
            <rFont val="WenQuanYi Zen Hei"/>
            <family val="2"/>
          </rPr>
          <t xml:space="preserve">には作れない一次情報。実機・実測・家庭の記録など</t>
        </r>
      </text>
    </comment>
    <comment ref="A34" authorId="0">
      <text>
        <r>
          <rPr>
            <sz val="10"/>
            <rFont val="WenQuanYi Zen Hei"/>
            <family val="2"/>
          </rPr>
          <t xml:space="preserve">ステップ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。読者像は</t>
        </r>
        <r>
          <rPr>
            <sz val="10"/>
            <rFont val="Arial"/>
            <family val="2"/>
          </rPr>
          <t xml:space="preserve">KW</t>
        </r>
        <r>
          <rPr>
            <sz val="10"/>
            <rFont val="WenQuanYi Zen Hei"/>
            <family val="2"/>
          </rPr>
          <t xml:space="preserve">の検索意図から。集客</t>
        </r>
        <r>
          <rPr>
            <sz val="10"/>
            <rFont val="Arial"/>
            <family val="2"/>
          </rPr>
          <t xml:space="preserve">KW→</t>
        </r>
        <r>
          <rPr>
            <sz val="10"/>
            <rFont val="WenQuanYi Zen Hei"/>
            <family val="2"/>
          </rPr>
          <t xml:space="preserve">成約</t>
        </r>
        <r>
          <rPr>
            <sz val="10"/>
            <rFont val="Arial"/>
            <family val="2"/>
          </rPr>
          <t xml:space="preserve">KW</t>
        </r>
        <r>
          <rPr>
            <sz val="10"/>
            <rFont val="WenQuanYi Zen Hei"/>
            <family val="2"/>
          </rPr>
          <t xml:space="preserve">の導線を書く</t>
        </r>
      </text>
    </comment>
    <comment ref="A37" authorId="0">
      <text>
        <r>
          <rPr>
            <sz val="10"/>
            <rFont val="WenQuanYi Zen Hei"/>
            <family val="2"/>
          </rPr>
          <t xml:space="preserve">ラッコ</t>
        </r>
        <r>
          <rPr>
            <sz val="10"/>
            <rFont val="Arial"/>
            <family val="2"/>
          </rPr>
          <t xml:space="preserve">M&amp;A</t>
        </r>
        <r>
          <rPr>
            <sz val="10"/>
            <rFont val="WenQuanYi Zen Hei"/>
            <family val="2"/>
          </rPr>
          <t xml:space="preserve">の実データ（逆算・見通しシート）と、</t>
        </r>
        <r>
          <rPr>
            <sz val="10"/>
            <rFont val="Arial"/>
            <family val="2"/>
          </rPr>
          <t xml:space="preserve">KW</t>
        </r>
        <r>
          <rPr>
            <sz val="10"/>
            <rFont val="WenQuanYi Zen Hei"/>
            <family val="2"/>
          </rPr>
          <t xml:space="preserve">一覧の個人ブログの有無・</t>
        </r>
        <r>
          <rPr>
            <sz val="10"/>
            <rFont val="Arial"/>
            <family val="2"/>
          </rPr>
          <t xml:space="preserve">DA</t>
        </r>
        <r>
          <rPr>
            <sz val="10"/>
            <rFont val="WenQuanYi Zen Hei"/>
            <family val="2"/>
          </rPr>
          <t xml:space="preserve">から</t>
        </r>
      </text>
    </comment>
    <comment ref="B7" authorId="0">
      <text>
        <r>
          <rPr>
            <sz val="10"/>
            <rFont val="WenQuanYi Zen Hei"/>
            <family val="2"/>
          </rPr>
          <t xml:space="preserve">ステップ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WenQuanYi Zen Hei"/>
            <family val="2"/>
          </rPr>
          <t xml:space="preserve">。読者に語れる動機。「稼ぎたい」だけで止めない</t>
        </r>
      </text>
    </comment>
    <comment ref="E6" authorId="0">
      <text>
        <r>
          <rPr>
            <sz val="10"/>
            <rFont val="WenQuanYi Zen Hei"/>
            <family val="2"/>
          </rPr>
          <t xml:space="preserve">高単価型</t>
        </r>
        <r>
          <rPr>
            <sz val="10"/>
            <rFont val="Arial"/>
            <family val="2"/>
          </rPr>
          <t xml:space="preserve">=5,000</t>
        </r>
        <r>
          <rPr>
            <sz val="10"/>
            <rFont val="WenQuanYi Zen Hei"/>
            <family val="2"/>
          </rPr>
          <t xml:space="preserve">円以上／中単価型</t>
        </r>
        <r>
          <rPr>
            <sz val="10"/>
            <rFont val="Arial"/>
            <family val="2"/>
          </rPr>
          <t xml:space="preserve">=3,000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5,000</t>
        </r>
        <r>
          <rPr>
            <sz val="10"/>
            <rFont val="WenQuanYi Zen Hei"/>
            <family val="2"/>
          </rPr>
          <t xml:space="preserve">円／低単価型</t>
        </r>
        <r>
          <rPr>
            <sz val="10"/>
            <rFont val="Arial"/>
            <family val="2"/>
          </rPr>
          <t xml:space="preserve">=3,000</t>
        </r>
        <r>
          <rPr>
            <sz val="10"/>
            <rFont val="WenQuanYi Zen Hei"/>
            <family val="2"/>
          </rPr>
          <t xml:space="preserve">円未満（原則選ばない）</t>
        </r>
      </text>
    </comment>
    <comment ref="F27" authorId="0">
      <text>
        <r>
          <rPr>
            <sz val="10"/>
            <rFont val="WenQuanYi Zen Hei"/>
            <family val="2"/>
          </rPr>
          <t xml:space="preserve">客単価＝成果報酬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確定率（期待報酬）。確定率が「ー」なら成果条件から仮置きし、コメントに『仮』と書く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6" authorId="0">
      <text>
        <r>
          <rPr>
            <sz val="10"/>
            <rFont val="Arial"/>
            <family val="2"/>
          </rPr>
          <t xml:space="preserve">M&amp;A</t>
        </r>
        <r>
          <rPr>
            <sz val="10"/>
            <rFont val="WenQuanYi Zen Hei"/>
            <family val="2"/>
          </rPr>
          <t xml:space="preserve">実データの平均（</t>
        </r>
        <r>
          <rPr>
            <sz val="10"/>
            <rFont val="Arial"/>
            <family val="2"/>
          </rPr>
          <t xml:space="preserve">A</t>
        </r>
        <r>
          <rPr>
            <sz val="10"/>
            <rFont val="WenQuanYi Zen Hei"/>
            <family val="2"/>
          </rPr>
          <t xml:space="preserve">表）。事例がなければ 遷移率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成約率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報酬 で仮置き</t>
        </r>
      </text>
    </comment>
    <comment ref="A17" authorId="0">
      <text>
        <r>
          <rPr>
            <sz val="10"/>
            <rFont val="Arial"/>
            <family val="2"/>
          </rPr>
          <t xml:space="preserve">M&amp;A</t>
        </r>
        <r>
          <rPr>
            <sz val="10"/>
            <rFont val="WenQuanYi Zen Hei"/>
            <family val="2"/>
          </rPr>
          <t xml:space="preserve">実データの平均（</t>
        </r>
        <r>
          <rPr>
            <sz val="10"/>
            <rFont val="Arial"/>
            <family val="2"/>
          </rPr>
          <t xml:space="preserve">A</t>
        </r>
        <r>
          <rPr>
            <sz val="10"/>
            <rFont val="WenQuanYi Zen Hei"/>
            <family val="2"/>
          </rPr>
          <t xml:space="preserve">表）。事例がなければ</t>
        </r>
        <r>
          <rPr>
            <sz val="10"/>
            <rFont val="Arial"/>
            <family val="2"/>
          </rPr>
          <t xml:space="preserve">300</t>
        </r>
        <r>
          <rPr>
            <sz val="10"/>
            <rFont val="WenQuanYi Zen Hei"/>
            <family val="2"/>
          </rPr>
          <t xml:space="preserve">〜</t>
        </r>
        <r>
          <rPr>
            <sz val="10"/>
            <rFont val="Arial"/>
            <family val="2"/>
          </rPr>
          <t xml:space="preserve">500</t>
        </r>
        <r>
          <rPr>
            <sz val="10"/>
            <rFont val="WenQuanYi Zen Hei"/>
            <family val="2"/>
          </rPr>
          <t xml:space="preserve">で仮置き</t>
        </r>
      </text>
    </comment>
    <comment ref="F26" authorId="0">
      <text>
        <r>
          <rPr>
            <sz val="10"/>
            <rFont val="WenQuanYi Zen Hei"/>
            <family val="2"/>
          </rPr>
          <t xml:space="preserve">目標は本人が置く。例：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WenQuanYi Zen Hei"/>
            <family val="2"/>
          </rPr>
          <t xml:space="preserve">か月目から立ち上げ、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WenQuanYi Zen Hei"/>
            <family val="2"/>
          </rPr>
          <t xml:space="preserve">か月目に目標月収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" authorId="0">
      <text>
        <r>
          <rPr>
            <sz val="10"/>
            <rFont val="WenQuanYi Zen Hei"/>
            <family val="2"/>
          </rPr>
          <t xml:space="preserve">期待報酬＝成果報酬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WenQuanYi Zen Hei"/>
            <family val="2"/>
          </rPr>
          <t xml:space="preserve">確定率。確定率が「ー」なら空欄になる。仮置きするなら備考に「仮」と書く</t>
        </r>
      </text>
    </comment>
  </commentList>
</comments>
</file>

<file path=xl/sharedStrings.xml><?xml version="1.0" encoding="utf-8"?>
<sst xmlns="http://schemas.openxmlformats.org/spreadsheetml/2006/main" count="382" uniqueCount="331">
  <si>
    <t xml:space="preserve">ブログ創業計画書（雛形）</t>
  </si>
  <si>
    <r>
      <rPr>
        <sz val="10"/>
        <color rgb="FF000000"/>
        <rFont val="WenQuanYi Zen Hei"/>
        <family val="2"/>
      </rPr>
      <t xml:space="preserve">日本政策金融公庫の創業計画書（</t>
    </r>
    <r>
      <rPr>
        <sz val="10"/>
        <color rgb="FF000000"/>
        <rFont val="Meiryo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項目）をブログ用に写したもの。</t>
    </r>
    <r>
      <rPr>
        <sz val="10"/>
        <color rgb="FF000000"/>
        <rFont val="Meiryo"/>
        <family val="0"/>
        <charset val="1"/>
      </rPr>
      <t xml:space="preserve">blog-playbook </t>
    </r>
    <r>
      <rPr>
        <sz val="10"/>
        <color rgb="FF000000"/>
        <rFont val="WenQuanYi Zen Hei"/>
        <family val="2"/>
      </rPr>
      <t xml:space="preserve">のステップ</t>
    </r>
    <r>
      <rPr>
        <sz val="10"/>
        <color rgb="FF000000"/>
        <rFont val="Meiryo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で埋め、ステップ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の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か月見直しで更新する。</t>
    </r>
  </si>
  <si>
    <t xml:space="preserve">凡例</t>
  </si>
  <si>
    <t xml:space="preserve">黄色セル・青字</t>
  </si>
  <si>
    <t xml:space="preserve">記入するセル。記入例が入っているものは上書きしてよい</t>
  </si>
  <si>
    <t xml:space="preserve">灰色セル・青字</t>
  </si>
  <si>
    <t xml:space="preserve">記入例の行。実際の値を入れたら消してよい</t>
  </si>
  <si>
    <t xml:space="preserve">黒字</t>
  </si>
  <si>
    <t xml:space="preserve">計算式。触らない</t>
  </si>
  <si>
    <t xml:space="preserve">セルのコメント（赤い三角）</t>
  </si>
  <si>
    <t xml:space="preserve">その欄で何を書くか、どのステップで埋めるかのメモ</t>
  </si>
  <si>
    <t xml:space="preserve">シート構成</t>
  </si>
  <si>
    <t xml:space="preserve">創業計画書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</si>
  <si>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枚の本体。公庫の</t>
    </r>
    <r>
      <rPr>
        <sz val="10"/>
        <color rgb="FF000000"/>
        <rFont val="Meiryo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項目に対応。ステップ</t>
    </r>
    <r>
      <rPr>
        <sz val="10"/>
        <color rgb="FF000000"/>
        <rFont val="Meiryo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で埋める</t>
    </r>
  </si>
  <si>
    <t xml:space="preserve">逆算・見通し</t>
  </si>
  <si>
    <r>
      <rPr>
        <sz val="10"/>
        <color rgb="FF000000"/>
        <rFont val="WenQuanYi Zen Hei"/>
        <family val="2"/>
      </rPr>
      <t xml:space="preserve">ステップ</t>
    </r>
    <r>
      <rPr>
        <sz val="10"/>
        <color rgb="FF000000"/>
        <rFont val="Meiryo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。ラッコ</t>
    </r>
    <r>
      <rPr>
        <sz val="10"/>
        <color rgb="FF000000"/>
        <rFont val="Meiryo"/>
        <family val="0"/>
        <charset val="1"/>
      </rPr>
      <t xml:space="preserve">M&amp;A</t>
    </r>
    <r>
      <rPr>
        <sz val="10"/>
        <color rgb="FF000000"/>
        <rFont val="WenQuanYi Zen Hei"/>
        <family val="2"/>
      </rPr>
      <t xml:space="preserve">の実データ表、必要</t>
    </r>
    <r>
      <rPr>
        <sz val="10"/>
        <color rgb="FF000000"/>
        <rFont val="Meiryo"/>
        <family val="0"/>
        <charset val="1"/>
      </rPr>
      <t xml:space="preserve">PV</t>
    </r>
    <r>
      <rPr>
        <sz val="10"/>
        <color rgb="FF000000"/>
        <rFont val="WenQuanYi Zen Hei"/>
        <family val="2"/>
      </rPr>
      <t xml:space="preserve">・必要記事数の逆算、</t>
    </r>
    <r>
      <rPr>
        <sz val="10"/>
        <color rgb="FF000000"/>
        <rFont val="Meiryo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か月マイルストーン</t>
    </r>
  </si>
  <si>
    <t xml:space="preserve">案件評価表</t>
  </si>
  <si>
    <r>
      <rPr>
        <sz val="10"/>
        <color rgb="FF000000"/>
        <rFont val="WenQuanYi Zen Hei"/>
        <family val="2"/>
      </rPr>
      <t xml:space="preserve">ステップ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Meiryo"/>
        <family val="0"/>
        <charset val="1"/>
      </rPr>
      <t xml:space="preserve">ASP</t>
    </r>
    <r>
      <rPr>
        <sz val="10"/>
        <color rgb="FF000000"/>
        <rFont val="WenQuanYi Zen Hei"/>
        <family val="2"/>
      </rPr>
      <t xml:space="preserve">で見た案件を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指標で並べる。主力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・サブ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を決める</t>
    </r>
  </si>
  <si>
    <r>
      <rPr>
        <sz val="10"/>
        <color rgb="FF000000"/>
        <rFont val="Meiryo"/>
        <family val="0"/>
        <charset val="1"/>
      </rPr>
      <t xml:space="preserve">KW</t>
    </r>
    <r>
      <rPr>
        <sz val="10"/>
        <color rgb="FF000000"/>
        <rFont val="WenQuanYi Zen Hei"/>
        <family val="2"/>
      </rPr>
      <t xml:space="preserve">一覧</t>
    </r>
  </si>
  <si>
    <r>
      <rPr>
        <sz val="10"/>
        <color rgb="FF000000"/>
        <rFont val="WenQuanYi Zen Hei"/>
        <family val="2"/>
      </rPr>
      <t xml:space="preserve">ステップ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Meiryo"/>
        <family val="0"/>
        <charset val="1"/>
      </rPr>
      <t xml:space="preserve">KW</t>
    </r>
    <r>
      <rPr>
        <sz val="10"/>
        <color rgb="FF000000"/>
        <rFont val="WenQuanYi Zen Hei"/>
        <family val="2"/>
      </rPr>
      <t xml:space="preserve">ごとの検索</t>
    </r>
    <r>
      <rPr>
        <sz val="10"/>
        <color rgb="FF000000"/>
        <rFont val="Meiryo"/>
        <family val="0"/>
        <charset val="1"/>
      </rPr>
      <t xml:space="preserve">vol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DA</t>
    </r>
    <r>
      <rPr>
        <sz val="10"/>
        <color rgb="FF000000"/>
        <rFont val="WenQuanYi Zen Hei"/>
        <family val="2"/>
      </rPr>
      <t xml:space="preserve">・個人ブログの有無・クエリ判定。</t>
    </r>
    <r>
      <rPr>
        <sz val="10"/>
        <color rgb="FF000000"/>
        <rFont val="Meiryo"/>
        <family val="0"/>
        <charset val="1"/>
      </rPr>
      <t xml:space="preserve">DA10</t>
    </r>
    <r>
      <rPr>
        <sz val="10"/>
        <color rgb="FF000000"/>
        <rFont val="WenQuanYi Zen Hei"/>
        <family val="2"/>
      </rPr>
      <t xml:space="preserve">未満／</t>
    </r>
    <r>
      <rPr>
        <sz val="10"/>
        <color rgb="FF000000"/>
        <rFont val="Meiryo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未満で色が付く</t>
    </r>
  </si>
  <si>
    <t xml:space="preserve">記事一覧</t>
  </si>
  <si>
    <r>
      <rPr>
        <sz val="10"/>
        <color rgb="FF000000"/>
        <rFont val="WenQuanYi Zen Hei"/>
        <family val="2"/>
      </rPr>
      <t xml:space="preserve">ステップ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の出力とステップ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の計測。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グループ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記事。毎月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日に順位・</t>
    </r>
    <r>
      <rPr>
        <sz val="10"/>
        <color rgb="FF000000"/>
        <rFont val="Meiryo"/>
        <family val="0"/>
        <charset val="1"/>
      </rPr>
      <t xml:space="preserve">CTR</t>
    </r>
    <r>
      <rPr>
        <sz val="10"/>
        <color rgb="FF000000"/>
        <rFont val="WenQuanYi Zen Hei"/>
        <family val="2"/>
      </rPr>
      <t xml:space="preserve">・成約を更新する</t>
    </r>
  </si>
  <si>
    <t xml:space="preserve">埋める順番</t>
  </si>
  <si>
    <t xml:space="preserve">1</t>
  </si>
  <si>
    <r>
      <rPr>
        <sz val="10"/>
        <color rgb="FF000000"/>
        <rFont val="WenQuanYi Zen Hei"/>
        <family val="2"/>
      </rPr>
      <t xml:space="preserve">逆算・見通し シートで、目標月収・体験資産・候補ジャンルを書き、</t>
    </r>
    <r>
      <rPr>
        <sz val="10"/>
        <color rgb="FF000000"/>
        <rFont val="Meiryo"/>
        <family val="0"/>
        <charset val="1"/>
      </rPr>
      <t xml:space="preserve">M&amp;A</t>
    </r>
    <r>
      <rPr>
        <sz val="10"/>
        <color rgb="FF000000"/>
        <rFont val="WenQuanYi Zen Hei"/>
        <family val="2"/>
      </rPr>
      <t xml:space="preserve">実データを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件以上入れる</t>
    </r>
  </si>
  <si>
    <t xml:space="preserve">2</t>
  </si>
  <si>
    <r>
      <rPr>
        <sz val="10"/>
        <color rgb="FF000000"/>
        <rFont val="WenQuanYi Zen Hei"/>
        <family val="2"/>
      </rPr>
      <t xml:space="preserve">創業計画書 の 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を埋める（ステップ</t>
    </r>
    <r>
      <rPr>
        <sz val="10"/>
        <color rgb="FF000000"/>
        <rFont val="Meiryo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</si>
  <si>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3</t>
  </si>
  <si>
    <r>
      <rPr>
        <sz val="10"/>
        <color rgb="FF000000"/>
        <rFont val="WenQuanYi Zen Hei"/>
        <family val="2"/>
      </rPr>
      <t xml:space="preserve">案件評価表 を埋め、主力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・サブ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を決めたら 創業計画書 の 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を埋める（ステップ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</si>
  <si>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4</t>
  </si>
  <si>
    <r>
      <rPr>
        <sz val="10"/>
        <color rgb="FF000000"/>
        <rFont val="Meiryo"/>
        <family val="0"/>
        <charset val="1"/>
      </rPr>
      <t xml:space="preserve">KW</t>
    </r>
    <r>
      <rPr>
        <sz val="10"/>
        <color rgb="FF000000"/>
        <rFont val="WenQuanYi Zen Hei"/>
        <family val="2"/>
      </rPr>
      <t xml:space="preserve">一覧 → 記事一覧 を作り、創業計画書 の 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（販売戦略・競合）と </t>
    </r>
    <r>
      <rPr>
        <sz val="10"/>
        <color rgb="FF000000"/>
        <rFont val="Meiryo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（見通し）を埋める（ステップ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</si>
  <si>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5</t>
  </si>
  <si>
    <r>
      <rPr>
        <sz val="10"/>
        <color rgb="FF000000"/>
        <rFont val="Meiryo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の見通しが必要記事数・投下時間と両立するか確認する。しなければ </t>
    </r>
    <r>
      <rPr>
        <sz val="10"/>
        <color rgb="FF000000"/>
        <rFont val="Meiryo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か </t>
    </r>
    <r>
      <rPr>
        <sz val="10"/>
        <color rgb="FF000000"/>
        <rFont val="Meiryo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に戻る</t>
    </r>
  </si>
  <si>
    <t xml:space="preserve">6</t>
  </si>
  <si>
    <r>
      <rPr>
        <sz val="10"/>
        <color rgb="FF000000"/>
        <rFont val="WenQuanYi Zen Hei"/>
        <family val="2"/>
      </rPr>
      <t xml:space="preserve">記事一覧の優先順位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番から、ステップ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を回す。埋まるまでブログを開設しない</t>
    </r>
  </si>
  <si>
    <t xml:space="preserve">数値の目安</t>
  </si>
  <si>
    <r>
      <rPr>
        <sz val="10"/>
        <color rgb="FF000000"/>
        <rFont val="WenQuanYi Zen Hei"/>
        <family val="2"/>
      </rPr>
      <t xml:space="preserve">成果報酬</t>
    </r>
    <r>
      <rPr>
        <sz val="10"/>
        <color rgb="FF000000"/>
        <rFont val="Meiryo"/>
        <family val="0"/>
        <charset val="1"/>
      </rPr>
      <t xml:space="preserve">: 2,000</t>
    </r>
    <r>
      <rPr>
        <sz val="10"/>
        <color rgb="FF000000"/>
        <rFont val="WenQuanYi Zen Hei"/>
        <family val="2"/>
      </rPr>
      <t xml:space="preserve">円未満は見ない／</t>
    </r>
    <r>
      <rPr>
        <sz val="10"/>
        <color rgb="FF000000"/>
        <rFont val="Meiryo"/>
        <family val="0"/>
        <charset val="1"/>
      </rPr>
      <t xml:space="preserve">3,000</t>
    </r>
    <r>
      <rPr>
        <sz val="10"/>
        <color rgb="FF000000"/>
        <rFont val="WenQuanYi Zen Hei"/>
        <family val="2"/>
      </rPr>
      <t xml:space="preserve">円以上候補／</t>
    </r>
    <r>
      <rPr>
        <sz val="10"/>
        <color rgb="FF000000"/>
        <rFont val="Meiryo"/>
        <family val="0"/>
        <charset val="1"/>
      </rPr>
      <t xml:space="preserve">5,000</t>
    </r>
    <r>
      <rPr>
        <sz val="10"/>
        <color rgb="FF000000"/>
        <rFont val="WenQuanYi Zen Hei"/>
        <family val="2"/>
      </rPr>
      <t xml:space="preserve">円以上優先。確定率</t>
    </r>
    <r>
      <rPr>
        <sz val="10"/>
        <color rgb="FF000000"/>
        <rFont val="Meiryo"/>
        <family val="0"/>
        <charset val="1"/>
      </rPr>
      <t xml:space="preserve">: 50%</t>
    </r>
    <r>
      <rPr>
        <sz val="10"/>
        <color rgb="FF000000"/>
        <rFont val="WenQuanYi Zen Hei"/>
        <family val="2"/>
      </rPr>
      <t xml:space="preserve">未満は落とす／</t>
    </r>
    <r>
      <rPr>
        <sz val="10"/>
        <color rgb="FF000000"/>
        <rFont val="Meiryo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以上候補／</t>
    </r>
    <r>
      <rPr>
        <sz val="10"/>
        <color rgb="FF000000"/>
        <rFont val="Meiryo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以上優先。検索</t>
    </r>
    <r>
      <rPr>
        <sz val="10"/>
        <color rgb="FF000000"/>
        <rFont val="Meiryo"/>
        <family val="0"/>
        <charset val="1"/>
      </rPr>
      <t xml:space="preserve">vol: 10</t>
    </r>
    <r>
      <rPr>
        <sz val="10"/>
        <color rgb="FF000000"/>
        <rFont val="WenQuanYi Zen Hei"/>
        <family val="2"/>
      </rPr>
      <t xml:space="preserve">未満は書かない／</t>
    </r>
    <r>
      <rPr>
        <sz val="10"/>
        <color rgb="FF000000"/>
        <rFont val="Meiryo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が初期の主戦場／</t>
    </r>
    <r>
      <rPr>
        <sz val="10"/>
        <color rgb="FF000000"/>
        <rFont val="Meiryo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以上優先。</t>
    </r>
    <r>
      <rPr>
        <sz val="10"/>
        <color rgb="FF000000"/>
        <rFont val="Meiryo"/>
        <family val="0"/>
        <charset val="1"/>
      </rPr>
      <t xml:space="preserve">DA: 20</t>
    </r>
    <r>
      <rPr>
        <sz val="10"/>
        <color rgb="FF000000"/>
        <rFont val="WenQuanYi Zen Hei"/>
        <family val="2"/>
      </rPr>
      <t xml:space="preserve">未満候補／</t>
    </r>
    <r>
      <rPr>
        <sz val="10"/>
        <color rgb="FF000000"/>
        <rFont val="Meiryo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未満優先</t>
    </r>
  </si>
  <si>
    <t xml:space="preserve">出典</t>
  </si>
  <si>
    <r>
      <rPr>
        <sz val="10"/>
        <color rgb="FF000000"/>
        <rFont val="WenQuanYi Zen Hei"/>
        <family val="2"/>
      </rPr>
      <t xml:space="preserve">公庫様式の項目対応は </t>
    </r>
    <r>
      <rPr>
        <sz val="10"/>
        <color rgb="FF000000"/>
        <rFont val="Meiryo"/>
        <family val="0"/>
        <charset val="1"/>
      </rPr>
      <t xml:space="preserve">references/</t>
    </r>
    <r>
      <rPr>
        <sz val="10"/>
        <color rgb="FF000000"/>
        <rFont val="WenQuanYi Zen Hei"/>
        <family val="2"/>
      </rPr>
      <t xml:space="preserve">創業計画書</t>
    </r>
    <r>
      <rPr>
        <sz val="10"/>
        <color rgb="FF000000"/>
        <rFont val="Meiryo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公庫様式の項目メモ</t>
    </r>
    <r>
      <rPr>
        <sz val="10"/>
        <color rgb="FF000000"/>
        <rFont val="Meiryo"/>
        <family val="0"/>
        <charset val="1"/>
      </rPr>
      <t xml:space="preserve">.md</t>
    </r>
    <r>
      <rPr>
        <sz val="10"/>
        <color rgb="FF000000"/>
        <rFont val="WenQuanYi Zen Hei"/>
        <family val="2"/>
      </rPr>
      <t xml:space="preserve">。数値の目安は </t>
    </r>
    <r>
      <rPr>
        <sz val="10"/>
        <color rgb="FF000000"/>
        <rFont val="Meiryo"/>
        <family val="0"/>
        <charset val="1"/>
      </rPr>
      <t xml:space="preserve">README</t>
    </r>
    <r>
      <rPr>
        <sz val="10"/>
        <color rgb="FF000000"/>
        <rFont val="WenQuanYi Zen Hei"/>
        <family val="2"/>
      </rPr>
      <t xml:space="preserve">「数値の目安」</t>
    </r>
  </si>
  <si>
    <t xml:space="preserve">ブログ創業計画書</t>
  </si>
  <si>
    <t xml:space="preserve">サイト名</t>
  </si>
  <si>
    <t xml:space="preserve">（例）〇〇ラボ</t>
  </si>
  <si>
    <t xml:space="preserve">作成日</t>
  </si>
  <si>
    <t xml:space="preserve">2026-09-17</t>
  </si>
  <si>
    <t xml:space="preserve">作成者</t>
  </si>
  <si>
    <t xml:space="preserve">もろ</t>
  </si>
  <si>
    <t xml:space="preserve">最終更新</t>
  </si>
  <si>
    <r>
      <rPr>
        <b val="true"/>
        <sz val="11"/>
        <color rgb="FFFFFFFF"/>
        <rFont val="WenQuanYi Zen Hei"/>
        <family val="2"/>
      </rPr>
      <t xml:space="preserve">１ 創業の動機（なぜこのブログを、いつまでに、いくらのために始めるか）　← ステップ</t>
    </r>
    <r>
      <rPr>
        <b val="true"/>
        <sz val="11"/>
        <color rgb="FFFFFFFF"/>
        <rFont val="Meiryo"/>
        <family val="0"/>
        <charset val="1"/>
      </rPr>
      <t xml:space="preserve">0</t>
    </r>
  </si>
  <si>
    <t xml:space="preserve">目標月収（確定報酬）</t>
  </si>
  <si>
    <t xml:space="preserve">期限</t>
  </si>
  <si>
    <t xml:space="preserve">2027-09</t>
  </si>
  <si>
    <t xml:space="preserve">単価の型</t>
  </si>
  <si>
    <t xml:space="preserve">高単価型</t>
  </si>
  <si>
    <t xml:space="preserve">動機・目的</t>
  </si>
  <si>
    <r>
      <rPr>
        <sz val="10"/>
        <color rgb="FF0000FF"/>
        <rFont val="WenQuanYi Zen Hei"/>
        <family val="2"/>
      </rPr>
      <t xml:space="preserve">（例）子どもがゲームとネットに触れ始め、家庭で実際に試した見守り設定の記録を、同じ悩みの親に届けたい。副業収入として月</t>
    </r>
    <r>
      <rPr>
        <sz val="10"/>
        <color rgb="FF0000FF"/>
        <rFont val="Meiryo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万円を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年で。</t>
    </r>
  </si>
  <si>
    <r>
      <rPr>
        <b val="true"/>
        <sz val="11"/>
        <color rgb="FFFFFFFF"/>
        <rFont val="WenQuanYi Zen Hei"/>
        <family val="2"/>
      </rPr>
      <t xml:space="preserve">２ 発信者の略歴・体験資産（誰として語るか。</t>
    </r>
    <r>
      <rPr>
        <b val="true"/>
        <sz val="11"/>
        <color rgb="FFFFFFFF"/>
        <rFont val="Meiryo"/>
        <family val="0"/>
        <charset val="1"/>
      </rPr>
      <t xml:space="preserve">E-E-A-T</t>
    </r>
    <r>
      <rPr>
        <b val="true"/>
        <sz val="11"/>
        <color rgb="FFFFFFFF"/>
        <rFont val="WenQuanYi Zen Hei"/>
        <family val="2"/>
      </rPr>
      <t xml:space="preserve">の根拠）　← ステップ</t>
    </r>
    <r>
      <rPr>
        <b val="true"/>
        <sz val="11"/>
        <color rgb="FFFFFFFF"/>
        <rFont val="Meiryo"/>
        <family val="0"/>
        <charset val="1"/>
      </rPr>
      <t xml:space="preserve">0</t>
    </r>
  </si>
  <si>
    <t xml:space="preserve">年月</t>
  </si>
  <si>
    <t xml:space="preserve">内容（勤務先・担当業務・身につけた技能・家庭の出来事など）</t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</si>
  <si>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Meiryo"/>
        <family val="0"/>
        <charset val="1"/>
      </rPr>
      <t xml:space="preserve">2015-04</t>
    </r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</si>
  <si>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Meiryo"/>
        <family val="0"/>
        <charset val="1"/>
      </rPr>
      <t xml:space="preserve">IT</t>
    </r>
    <r>
      <rPr>
        <sz val="10"/>
        <color rgb="FF0000FF"/>
        <rFont val="WenQuanYi Zen Hei"/>
        <family val="2"/>
      </rPr>
      <t xml:space="preserve">企業で社内ネットワークの運用を担当。家庭でもルーター設定・フィルタリングを自分で行う</t>
    </r>
  </si>
  <si>
    <t xml:space="preserve">過去のブログ経験</t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</si>
  <si>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Meiryo"/>
        <family val="0"/>
        <charset val="1"/>
      </rPr>
      <t xml:space="preserve">2024</t>
    </r>
    <r>
      <rPr>
        <sz val="10"/>
        <color rgb="FF0000FF"/>
        <rFont val="WenQuanYi Zen Hei"/>
        <family val="2"/>
      </rPr>
      <t xml:space="preserve">年から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サイト運営中（記事</t>
    </r>
    <r>
      <rPr>
        <sz val="10"/>
        <color rgb="FF0000FF"/>
        <rFont val="Meiryo"/>
        <family val="0"/>
        <charset val="1"/>
      </rPr>
      <t xml:space="preserve">19</t>
    </r>
    <r>
      <rPr>
        <sz val="10"/>
        <color rgb="FF0000FF"/>
        <rFont val="WenQuanYi Zen Hei"/>
        <family val="2"/>
      </rPr>
      <t xml:space="preserve">本・月間</t>
    </r>
    <r>
      <rPr>
        <sz val="10"/>
        <color rgb="FF0000FF"/>
        <rFont val="Meiryo"/>
        <family val="0"/>
        <charset val="1"/>
      </rPr>
      <t xml:space="preserve">PV</t>
    </r>
    <r>
      <rPr>
        <sz val="10"/>
        <color rgb="FF0000FF"/>
        <rFont val="WenQuanYi Zen Hei"/>
        <family val="2"/>
      </rPr>
      <t xml:space="preserve">約</t>
    </r>
    <r>
      <rPr>
        <sz val="10"/>
        <color rgb="FF0000FF"/>
        <rFont val="Meiryo"/>
        <family val="0"/>
        <charset val="1"/>
      </rPr>
      <t xml:space="preserve">300</t>
    </r>
    <r>
      <rPr>
        <sz val="10"/>
        <color rgb="FF0000FF"/>
        <rFont val="WenQuanYi Zen Hei"/>
        <family val="2"/>
      </rPr>
      <t xml:space="preserve">・確定報酬</t>
    </r>
    <r>
      <rPr>
        <sz val="10"/>
        <color rgb="FF0000FF"/>
        <rFont val="Meiryo"/>
        <family val="0"/>
        <charset val="1"/>
      </rPr>
      <t xml:space="preserve">0</t>
    </r>
    <r>
      <rPr>
        <sz val="10"/>
        <color rgb="FF0000FF"/>
        <rFont val="WenQuanYi Zen Hei"/>
        <family val="2"/>
      </rPr>
      <t xml:space="preserve">円）</t>
    </r>
  </si>
  <si>
    <t xml:space="preserve">資格・実績</t>
  </si>
  <si>
    <t xml:space="preserve">（例）特になし</t>
  </si>
  <si>
    <t xml:space="preserve">体験資産</t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</si>
  <si>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Meiryo"/>
        <family val="0"/>
        <charset val="1"/>
      </rPr>
      <t xml:space="preserve">VPN 2</t>
    </r>
    <r>
      <rPr>
        <sz val="10"/>
        <color rgb="FF0000FF"/>
        <rFont val="WenQuanYi Zen Hei"/>
        <family val="2"/>
      </rPr>
      <t xml:space="preserve">社契約中／見守り</t>
    </r>
    <r>
      <rPr>
        <sz val="10"/>
        <color rgb="FF0000FF"/>
        <rFont val="Meiryo"/>
        <family val="0"/>
        <charset val="1"/>
      </rPr>
      <t xml:space="preserve">GPS 1</t>
    </r>
    <r>
      <rPr>
        <sz val="10"/>
        <color rgb="FF0000FF"/>
        <rFont val="WenQuanYi Zen Hei"/>
        <family val="2"/>
      </rPr>
      <t xml:space="preserve">台所有／小学生と年少の子ども／</t>
    </r>
    <r>
      <rPr>
        <sz val="10"/>
        <color rgb="FF0000FF"/>
        <rFont val="Meiryo"/>
        <family val="0"/>
        <charset val="1"/>
      </rPr>
      <t xml:space="preserve">WordPress</t>
    </r>
    <r>
      <rPr>
        <sz val="10"/>
        <color rgb="FF0000FF"/>
        <rFont val="WenQuanYi Zen Hei"/>
        <family val="2"/>
      </rPr>
      <t xml:space="preserve">運用経験</t>
    </r>
  </si>
  <si>
    <r>
      <rPr>
        <b val="true"/>
        <sz val="11"/>
        <color rgb="FFFFFFFF"/>
        <rFont val="WenQuanYi Zen Hei"/>
        <family val="2"/>
      </rPr>
      <t xml:space="preserve">３ 取扱商品・サービス（売る物。ここが空欄なら計画は成立しない）　← ステップ</t>
    </r>
    <r>
      <rPr>
        <b val="true"/>
        <sz val="11"/>
        <color rgb="FFFFFFFF"/>
        <rFont val="Meiryo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・</t>
    </r>
    <r>
      <rPr>
        <b val="true"/>
        <sz val="11"/>
        <color rgb="FFFFFFFF"/>
        <rFont val="Meiryo"/>
        <family val="0"/>
        <charset val="1"/>
      </rPr>
      <t xml:space="preserve">2</t>
    </r>
  </si>
  <si>
    <t xml:space="preserve">事業内容（ジャンル・コンセプト）</t>
  </si>
  <si>
    <r>
      <rPr>
        <sz val="10"/>
        <color rgb="FF0000FF"/>
        <rFont val="WenQuanYi Zen Hei"/>
        <family val="2"/>
      </rPr>
      <t xml:space="preserve">（例）子どもとデジタルの付き合い方を、家庭の実践記録から発信するメディア。見守り</t>
    </r>
    <r>
      <rPr>
        <sz val="10"/>
        <color rgb="FF0000FF"/>
        <rFont val="Meiryo"/>
        <family val="0"/>
        <charset val="1"/>
      </rPr>
      <t xml:space="preserve">GPS</t>
    </r>
    <r>
      <rPr>
        <sz val="10"/>
        <color rgb="FF0000FF"/>
        <rFont val="WenQuanYi Zen Hei"/>
        <family val="2"/>
      </rPr>
      <t xml:space="preserve">・端末設定・家庭のネットセキュリティ</t>
    </r>
  </si>
  <si>
    <t xml:space="preserve">区分</t>
  </si>
  <si>
    <t xml:space="preserve">案件名</t>
  </si>
  <si>
    <t xml:space="preserve">ASP</t>
  </si>
  <si>
    <t xml:space="preserve">成果報酬（円）</t>
  </si>
  <si>
    <t xml:space="preserve">確定率</t>
  </si>
  <si>
    <t xml:space="preserve">客単価（円）</t>
  </si>
  <si>
    <t xml:space="preserve">成果条件（成果地点）</t>
  </si>
  <si>
    <t xml:space="preserve">想定売上シェア</t>
  </si>
  <si>
    <t xml:space="preserve">主力①</t>
  </si>
  <si>
    <r>
      <rPr>
        <sz val="10"/>
        <color rgb="FF0000FF"/>
        <rFont val="WenQuanYi Zen Hei"/>
        <family val="2"/>
      </rPr>
      <t xml:space="preserve">（例）〇〇</t>
    </r>
    <r>
      <rPr>
        <sz val="10"/>
        <color rgb="FF0000FF"/>
        <rFont val="Meiryo"/>
        <family val="0"/>
        <charset val="1"/>
      </rPr>
      <t xml:space="preserve">GPS </t>
    </r>
    <r>
      <rPr>
        <sz val="10"/>
        <color rgb="FF0000FF"/>
        <rFont val="WenQuanYi Zen Hei"/>
        <family val="2"/>
      </rPr>
      <t xml:space="preserve">本体購入</t>
    </r>
  </si>
  <si>
    <t xml:space="preserve">A8.net</t>
  </si>
  <si>
    <t xml:space="preserve">本体購入完了</t>
  </si>
  <si>
    <t xml:space="preserve">サブ②</t>
  </si>
  <si>
    <r>
      <rPr>
        <sz val="10"/>
        <color rgb="FF0000FF"/>
        <rFont val="WenQuanYi Zen Hei"/>
        <family val="2"/>
      </rPr>
      <t xml:space="preserve">（例）△△</t>
    </r>
    <r>
      <rPr>
        <sz val="10"/>
        <color rgb="FF0000FF"/>
        <rFont val="Meiryo"/>
        <family val="0"/>
        <charset val="1"/>
      </rPr>
      <t xml:space="preserve">VPN </t>
    </r>
    <r>
      <rPr>
        <sz val="10"/>
        <color rgb="FF0000FF"/>
        <rFont val="WenQuanYi Zen Hei"/>
        <family val="2"/>
      </rPr>
      <t xml:space="preserve">有料契約</t>
    </r>
  </si>
  <si>
    <t xml:space="preserve">afb</t>
  </si>
  <si>
    <t xml:space="preserve">有料プラン契約</t>
  </si>
  <si>
    <t xml:space="preserve">サブ③</t>
  </si>
  <si>
    <t xml:space="preserve">シェア合計</t>
  </si>
  <si>
    <t xml:space="preserve">セールスポイント（自分の強み）</t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</si>
  <si>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Meiryo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社の</t>
    </r>
    <r>
      <rPr>
        <sz val="10"/>
        <color rgb="FF0000FF"/>
        <rFont val="Meiryo"/>
        <family val="0"/>
        <charset val="1"/>
      </rPr>
      <t xml:space="preserve">VPN</t>
    </r>
    <r>
      <rPr>
        <sz val="10"/>
        <color rgb="FF0000FF"/>
        <rFont val="WenQuanYi Zen Hei"/>
        <family val="2"/>
      </rPr>
      <t xml:space="preserve">を同じ家庭回線で毎月速度実測している／見守り</t>
    </r>
    <r>
      <rPr>
        <sz val="10"/>
        <color rgb="FF0000FF"/>
        <rFont val="Meiryo"/>
        <family val="0"/>
        <charset val="1"/>
      </rPr>
      <t xml:space="preserve">GPS</t>
    </r>
    <r>
      <rPr>
        <sz val="10"/>
        <color rgb="FF0000FF"/>
        <rFont val="WenQuanYi Zen Hei"/>
        <family val="2"/>
      </rPr>
      <t xml:space="preserve">を実際に子どもに持たせて</t>
    </r>
    <r>
      <rPr>
        <sz val="10"/>
        <color rgb="FF0000FF"/>
        <rFont val="Meiryo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か月の記録がある</t>
    </r>
  </si>
  <si>
    <t xml:space="preserve">販売ターゲット・販売戦略（集客方法）</t>
  </si>
  <si>
    <r>
      <rPr>
        <sz val="10"/>
        <color rgb="FF0000FF"/>
        <rFont val="WenQuanYi Zen Hei"/>
        <family val="2"/>
      </rPr>
      <t xml:space="preserve">（例）年少〜小学生の子を持つ</t>
    </r>
    <r>
      <rPr>
        <sz val="10"/>
        <color rgb="FF0000FF"/>
        <rFont val="Meiryo"/>
        <family val="0"/>
        <charset val="1"/>
      </rPr>
      <t xml:space="preserve">30</t>
    </r>
    <r>
      <rPr>
        <sz val="10"/>
        <color rgb="FF0000FF"/>
        <rFont val="WenQuanYi Zen Hei"/>
        <family val="2"/>
      </rPr>
      <t xml:space="preserve">〜</t>
    </r>
    <r>
      <rPr>
        <sz val="10"/>
        <color rgb="FF0000FF"/>
        <rFont val="Meiryo"/>
        <family val="0"/>
        <charset val="1"/>
      </rPr>
      <t xml:space="preserve">40</t>
    </r>
    <r>
      <rPr>
        <sz val="10"/>
        <color rgb="FF0000FF"/>
        <rFont val="WenQuanYi Zen Hei"/>
        <family val="2"/>
      </rPr>
      <t xml:space="preserve">代の親。悩み</t>
    </r>
    <r>
      <rPr>
        <sz val="10"/>
        <color rgb="FF0000FF"/>
        <rFont val="Meiryo"/>
        <family val="0"/>
        <charset val="1"/>
      </rPr>
      <t xml:space="preserve">KW</t>
    </r>
    <r>
      <rPr>
        <sz val="10"/>
        <color rgb="FF0000FF"/>
        <rFont val="WenQuanYi Zen Hei"/>
        <family val="2"/>
      </rPr>
      <t xml:space="preserve">（「子ども スマホ いつから」等）で集客し、比較記事を経て主力案件のレビュー記事へ流す。</t>
    </r>
    <r>
      <rPr>
        <sz val="10"/>
        <color rgb="FF0000FF"/>
        <rFont val="Meiryo"/>
        <family val="0"/>
        <charset val="1"/>
      </rPr>
      <t xml:space="preserve">SNS</t>
    </r>
    <r>
      <rPr>
        <sz val="10"/>
        <color rgb="FF0000FF"/>
        <rFont val="WenQuanYi Zen Hei"/>
        <family val="2"/>
      </rPr>
      <t xml:space="preserve">は公開後に着手</t>
    </r>
  </si>
  <si>
    <t xml:space="preserve">競合・市場（自分を取り巻く状況）</t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</si>
  <si>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Meiryo"/>
        <family val="0"/>
        <charset val="1"/>
      </rPr>
      <t xml:space="preserve">M&amp;A</t>
    </r>
    <r>
      <rPr>
        <sz val="10"/>
        <color rgb="FF0000FF"/>
        <rFont val="WenQuanYi Zen Hei"/>
        <family val="2"/>
      </rPr>
      <t xml:space="preserve">成約事例：同ジャンル</t>
    </r>
    <r>
      <rPr>
        <sz val="10"/>
        <color rgb="FF0000FF"/>
        <rFont val="Meiryo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記事・月</t>
    </r>
    <r>
      <rPr>
        <sz val="10"/>
        <color rgb="FF0000FF"/>
        <rFont val="Meiryo"/>
        <family val="0"/>
        <charset val="1"/>
      </rPr>
      <t xml:space="preserve">300PV</t>
    </r>
    <r>
      <rPr>
        <sz val="10"/>
        <color rgb="FF0000FF"/>
        <rFont val="WenQuanYi Zen Hei"/>
        <family val="2"/>
      </rPr>
      <t xml:space="preserve">で月</t>
    </r>
    <r>
      <rPr>
        <sz val="10"/>
        <color rgb="FF0000FF"/>
        <rFont val="Meiryo"/>
        <family val="0"/>
        <charset val="1"/>
      </rPr>
      <t xml:space="preserve">7,500</t>
    </r>
    <r>
      <rPr>
        <sz val="10"/>
        <color rgb="FF0000FF"/>
        <rFont val="WenQuanYi Zen Hei"/>
        <family val="2"/>
      </rPr>
      <t xml:space="preserve">円が</t>
    </r>
    <r>
      <rPr>
        <sz val="10"/>
        <color rgb="FF0000FF"/>
        <rFont val="Meiryo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件。主力</t>
    </r>
    <r>
      <rPr>
        <sz val="10"/>
        <color rgb="FF0000FF"/>
        <rFont val="Meiryo"/>
        <family val="0"/>
        <charset val="1"/>
      </rPr>
      <t xml:space="preserve">KW</t>
    </r>
    <r>
      <rPr>
        <sz val="10"/>
        <color rgb="FF0000FF"/>
        <rFont val="WenQuanYi Zen Hei"/>
        <family val="2"/>
      </rPr>
      <t xml:space="preserve">の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ページ目に</t>
    </r>
    <r>
      <rPr>
        <sz val="10"/>
        <color rgb="FF0000FF"/>
        <rFont val="Meiryo"/>
        <family val="0"/>
        <charset val="1"/>
      </rPr>
      <t xml:space="preserve">DA1</t>
    </r>
    <r>
      <rPr>
        <sz val="10"/>
        <color rgb="FF0000FF"/>
        <rFont val="WenQuanYi Zen Hei"/>
        <family val="2"/>
      </rPr>
      <t xml:space="preserve">桁の個人ブログが</t>
    </r>
    <r>
      <rPr>
        <sz val="10"/>
        <color rgb="FF0000FF"/>
        <rFont val="Meiryo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つ。企業サイトは商標</t>
    </r>
    <r>
      <rPr>
        <sz val="10"/>
        <color rgb="FF0000FF"/>
        <rFont val="Meiryo"/>
        <family val="0"/>
        <charset val="1"/>
      </rPr>
      <t xml:space="preserve">KW</t>
    </r>
    <r>
      <rPr>
        <sz val="10"/>
        <color rgb="FF0000FF"/>
        <rFont val="WenQuanYi Zen Hei"/>
        <family val="2"/>
      </rPr>
      <t xml:space="preserve">に集中</t>
    </r>
  </si>
  <si>
    <r>
      <rPr>
        <b val="true"/>
        <sz val="11"/>
        <color rgb="FFFFFFFF"/>
        <rFont val="WenQuanYi Zen Hei"/>
        <family val="2"/>
      </rPr>
      <t xml:space="preserve">４ 体制（誰が・どれだけ・何をやるか）　← ステップ</t>
    </r>
    <r>
      <rPr>
        <b val="true"/>
        <sz val="11"/>
        <color rgb="FFFFFFFF"/>
        <rFont val="Meiryo"/>
        <family val="0"/>
        <charset val="1"/>
      </rPr>
      <t xml:space="preserve">0</t>
    </r>
  </si>
  <si>
    <t xml:space="preserve">週の投下時間（実績ベース）</t>
  </si>
  <si>
    <t xml:space="preserve">外注の月予算</t>
  </si>
  <si>
    <t xml:space="preserve">週あたり公開本数</t>
  </si>
  <si>
    <r>
      <rPr>
        <sz val="10"/>
        <color rgb="FF000000"/>
        <rFont val="Meiryo"/>
        <family val="0"/>
        <charset val="1"/>
      </rPr>
      <t xml:space="preserve">AI</t>
    </r>
    <r>
      <rPr>
        <sz val="10"/>
        <color rgb="FF000000"/>
        <rFont val="WenQuanYi Zen Hei"/>
        <family val="2"/>
      </rPr>
      <t xml:space="preserve">に任せる工程</t>
    </r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</si>
  <si>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Meiryo"/>
        <family val="0"/>
        <charset val="1"/>
      </rPr>
      <t xml:space="preserve">KW</t>
    </r>
    <r>
      <rPr>
        <sz val="10"/>
        <color rgb="FF0000FF"/>
        <rFont val="WenQuanYi Zen Hei"/>
        <family val="2"/>
      </rPr>
      <t xml:space="preserve">リスト取得・シート転記・構成リサーチ・初稿・</t>
    </r>
    <r>
      <rPr>
        <sz val="10"/>
        <color rgb="FF0000FF"/>
        <rFont val="Meiryo"/>
        <family val="0"/>
        <charset val="1"/>
      </rPr>
      <t xml:space="preserve">FAQ</t>
    </r>
    <r>
      <rPr>
        <sz val="10"/>
        <color rgb="FF0000FF"/>
        <rFont val="WenQuanYi Zen Hei"/>
        <family val="2"/>
      </rPr>
      <t xml:space="preserve">・入稿・公開前チェック</t>
    </r>
    <r>
      <rPr>
        <sz val="10"/>
        <color rgb="FF0000FF"/>
        <rFont val="Meiryo"/>
        <family val="0"/>
        <charset val="1"/>
      </rPr>
      <t xml:space="preserve">A</t>
    </r>
    <r>
      <rPr>
        <sz val="10"/>
        <color rgb="FF0000FF"/>
        <rFont val="WenQuanYi Zen Hei"/>
        <family val="2"/>
      </rPr>
      <t xml:space="preserve">・サイトマップ送信・差分学習</t>
    </r>
  </si>
  <si>
    <t xml:space="preserve">本人がやる工程</t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</si>
  <si>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Meiryo"/>
        <family val="0"/>
        <charset val="1"/>
      </rPr>
      <t xml:space="preserve">ASP</t>
    </r>
    <r>
      <rPr>
        <sz val="10"/>
        <color rgb="FF0000FF"/>
        <rFont val="WenQuanYi Zen Hei"/>
        <family val="2"/>
      </rPr>
      <t xml:space="preserve">全件閲覧・勝てる</t>
    </r>
    <r>
      <rPr>
        <sz val="10"/>
        <color rgb="FF0000FF"/>
        <rFont val="Meiryo"/>
        <family val="0"/>
        <charset val="1"/>
      </rPr>
      <t xml:space="preserve">KW</t>
    </r>
    <r>
      <rPr>
        <sz val="10"/>
        <color rgb="FF0000FF"/>
        <rFont val="WenQuanYi Zen Hei"/>
        <family val="2"/>
      </rPr>
      <t xml:space="preserve">の判断・構成の確定・リード文・体験・セールス・公開判断</t>
    </r>
  </si>
  <si>
    <r>
      <rPr>
        <b val="true"/>
        <sz val="11"/>
        <color rgb="FFFFFFFF"/>
        <rFont val="WenQuanYi Zen Hei"/>
        <family val="2"/>
      </rPr>
      <t xml:space="preserve">５ 取引先（販売先＝</t>
    </r>
    <r>
      <rPr>
        <b val="true"/>
        <sz val="11"/>
        <color rgb="FFFFFFFF"/>
        <rFont val="Meiryo"/>
        <family val="0"/>
        <charset val="1"/>
      </rPr>
      <t xml:space="preserve">ASP</t>
    </r>
    <r>
      <rPr>
        <b val="true"/>
        <sz val="11"/>
        <color rgb="FFFFFFFF"/>
        <rFont val="WenQuanYi Zen Hei"/>
        <family val="2"/>
      </rPr>
      <t xml:space="preserve">・広告主／仕入先＝ツール・インフラ／外注先）　← ステップ</t>
    </r>
    <r>
      <rPr>
        <b val="true"/>
        <sz val="11"/>
        <color rgb="FFFFFFFF"/>
        <rFont val="Meiryo"/>
        <family val="0"/>
        <charset val="1"/>
      </rPr>
      <t xml:space="preserve">1</t>
    </r>
  </si>
  <si>
    <t xml:space="preserve">名称</t>
  </si>
  <si>
    <t xml:space="preserve">提携・契約状況</t>
  </si>
  <si>
    <r>
      <rPr>
        <b val="true"/>
        <sz val="10"/>
        <color rgb="FF000000"/>
        <rFont val="WenQuanYi Zen Hei"/>
        <family val="2"/>
      </rPr>
      <t xml:space="preserve">成果条件 </t>
    </r>
    <r>
      <rPr>
        <b val="true"/>
        <sz val="10"/>
        <color rgb="FF000000"/>
        <rFont val="Meiryo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用途</t>
    </r>
  </si>
  <si>
    <r>
      <rPr>
        <b val="true"/>
        <sz val="10"/>
        <color rgb="FF000000"/>
        <rFont val="WenQuanYi Zen Hei"/>
        <family val="2"/>
      </rPr>
      <t xml:space="preserve">確定率 </t>
    </r>
    <r>
      <rPr>
        <b val="true"/>
        <sz val="10"/>
        <color rgb="FF000000"/>
        <rFont val="Meiryo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月額（円）</t>
    </r>
  </si>
  <si>
    <t xml:space="preserve">支払サイト</t>
  </si>
  <si>
    <t xml:space="preserve">備考</t>
  </si>
  <si>
    <t xml:space="preserve">販売先</t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</si>
  <si>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Meiryo"/>
        <family val="0"/>
        <charset val="1"/>
      </rPr>
      <t xml:space="preserve">A8.net</t>
    </r>
    <r>
      <rPr>
        <sz val="10"/>
        <color rgb="FF0000FF"/>
        <rFont val="WenQuanYi Zen Hei"/>
        <family val="2"/>
      </rPr>
      <t xml:space="preserve">／〇〇社</t>
    </r>
  </si>
  <si>
    <t xml:space="preserve">提携承認済</t>
  </si>
  <si>
    <r>
      <rPr>
        <sz val="10"/>
        <color rgb="FF0000FF"/>
        <rFont val="WenQuanYi Zen Hei"/>
        <family val="2"/>
      </rPr>
      <t xml:space="preserve">月末締め翌々月</t>
    </r>
    <r>
      <rPr>
        <sz val="10"/>
        <color rgb="FF0000FF"/>
        <rFont val="Meiryo"/>
        <family val="0"/>
        <charset val="1"/>
      </rPr>
      <t xml:space="preserve">15</t>
    </r>
    <r>
      <rPr>
        <sz val="10"/>
        <color rgb="FF0000FF"/>
        <rFont val="WenQuanYi Zen Hei"/>
        <family val="2"/>
      </rPr>
      <t xml:space="preserve">日</t>
    </r>
  </si>
  <si>
    <t xml:space="preserve">担当者あり</t>
  </si>
  <si>
    <t xml:space="preserve">仕入先</t>
  </si>
  <si>
    <t xml:space="preserve">（例）ラッコキーワード</t>
  </si>
  <si>
    <t xml:space="preserve">エントリー契約中</t>
  </si>
  <si>
    <r>
      <rPr>
        <sz val="10"/>
        <color rgb="FF0000FF"/>
        <rFont val="Meiryo"/>
        <family val="0"/>
        <charset val="1"/>
      </rPr>
      <t xml:space="preserve">KW</t>
    </r>
    <r>
      <rPr>
        <sz val="10"/>
        <color rgb="FF0000FF"/>
        <rFont val="WenQuanYi Zen Hei"/>
        <family val="2"/>
      </rPr>
      <t xml:space="preserve">調査・獲得</t>
    </r>
    <r>
      <rPr>
        <sz val="10"/>
        <color rgb="FF0000FF"/>
        <rFont val="Meiryo"/>
        <family val="0"/>
        <charset val="1"/>
      </rPr>
      <t xml:space="preserve">KW</t>
    </r>
    <r>
      <rPr>
        <sz val="10"/>
        <color rgb="FF0000FF"/>
        <rFont val="WenQuanYi Zen Hei"/>
        <family val="2"/>
      </rPr>
      <t xml:space="preserve">調査</t>
    </r>
  </si>
  <si>
    <t xml:space="preserve">月払い</t>
  </si>
  <si>
    <t xml:space="preserve">（例）レンタルサーバー＋ドメイン</t>
  </si>
  <si>
    <t xml:space="preserve">契約中</t>
  </si>
  <si>
    <t xml:space="preserve">インフラ</t>
  </si>
  <si>
    <t xml:space="preserve">年払い</t>
  </si>
  <si>
    <t xml:space="preserve">外注先</t>
  </si>
  <si>
    <t xml:space="preserve">（例）なし</t>
  </si>
  <si>
    <r>
      <rPr>
        <b val="true"/>
        <sz val="11"/>
        <color rgb="FFFFFFFF"/>
        <rFont val="WenQuanYi Zen Hei"/>
        <family val="2"/>
      </rPr>
      <t xml:space="preserve">６ 既存資産（既存サイト・</t>
    </r>
    <r>
      <rPr>
        <b val="true"/>
        <sz val="11"/>
        <color rgb="FFFFFFFF"/>
        <rFont val="Meiryo"/>
        <family val="0"/>
        <charset val="1"/>
      </rPr>
      <t xml:space="preserve">SNS</t>
    </r>
    <r>
      <rPr>
        <b val="true"/>
        <sz val="11"/>
        <color rgb="FFFFFFFF"/>
        <rFont val="WenQuanYi Zen Hei"/>
        <family val="2"/>
      </rPr>
      <t xml:space="preserve">・ドメインなど）　← ステップ</t>
    </r>
    <r>
      <rPr>
        <b val="true"/>
        <sz val="11"/>
        <color rgb="FFFFFFFF"/>
        <rFont val="Meiryo"/>
        <family val="0"/>
        <charset val="1"/>
      </rPr>
      <t xml:space="preserve">0</t>
    </r>
  </si>
  <si>
    <r>
      <rPr>
        <sz val="10"/>
        <color rgb="FF0000FF"/>
        <rFont val="WenQuanYi Zen Hei"/>
        <family val="2"/>
      </rPr>
      <t xml:space="preserve">（例）既存サイト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つ（ドメイン取得</t>
    </r>
    <r>
      <rPr>
        <sz val="10"/>
        <color rgb="FF0000FF"/>
        <rFont val="Meiryo"/>
        <family val="0"/>
        <charset val="1"/>
      </rPr>
      <t xml:space="preserve">2024-03</t>
    </r>
    <r>
      <rPr>
        <sz val="10"/>
        <color rgb="FF0000FF"/>
        <rFont val="WenQuanYi Zen Hei"/>
        <family val="2"/>
      </rPr>
      <t xml:space="preserve">、記事</t>
    </r>
    <r>
      <rPr>
        <sz val="10"/>
        <color rgb="FF0000FF"/>
        <rFont val="Meiryo"/>
        <family val="0"/>
        <charset val="1"/>
      </rPr>
      <t xml:space="preserve">19</t>
    </r>
    <r>
      <rPr>
        <sz val="10"/>
        <color rgb="FF0000FF"/>
        <rFont val="WenQuanYi Zen Hei"/>
        <family val="2"/>
      </rPr>
      <t xml:space="preserve">本）／</t>
    </r>
    <r>
      <rPr>
        <sz val="10"/>
        <color rgb="FF0000FF"/>
        <rFont val="Meiryo"/>
        <family val="0"/>
        <charset val="1"/>
      </rPr>
      <t xml:space="preserve">X </t>
    </r>
    <r>
      <rPr>
        <sz val="10"/>
        <color rgb="FF0000FF"/>
        <rFont val="WenQuanYi Zen Hei"/>
        <family val="2"/>
      </rPr>
      <t xml:space="preserve">フォロワー</t>
    </r>
    <r>
      <rPr>
        <sz val="10"/>
        <color rgb="FF0000FF"/>
        <rFont val="Meiryo"/>
        <family val="0"/>
        <charset val="1"/>
      </rPr>
      <t xml:space="preserve">120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Meiryo"/>
        <family val="0"/>
        <charset val="1"/>
      </rPr>
      <t xml:space="preserve">Pinterest </t>
    </r>
    <r>
      <rPr>
        <sz val="10"/>
        <color rgb="FF0000FF"/>
        <rFont val="WenQuanYi Zen Hei"/>
        <family val="2"/>
      </rPr>
      <t xml:space="preserve">未着手</t>
    </r>
  </si>
  <si>
    <r>
      <rPr>
        <b val="true"/>
        <sz val="11"/>
        <color rgb="FFFFFFFF"/>
        <rFont val="WenQuanYi Zen Hei"/>
        <family val="2"/>
      </rPr>
      <t xml:space="preserve">７ 毎月の固定費（公庫の「お借入の状況」に代えて）　← ステップ</t>
    </r>
    <r>
      <rPr>
        <b val="true"/>
        <sz val="11"/>
        <color rgb="FFFFFFFF"/>
        <rFont val="Meiryo"/>
        <family val="0"/>
        <charset val="1"/>
      </rPr>
      <t xml:space="preserve">0</t>
    </r>
  </si>
  <si>
    <t xml:space="preserve">項目</t>
  </si>
  <si>
    <r>
      <rPr>
        <b val="true"/>
        <sz val="10"/>
        <color rgb="FF000000"/>
        <rFont val="WenQuanYi Zen Hei"/>
        <family val="2"/>
      </rPr>
      <t xml:space="preserve">金額（円</t>
    </r>
    <r>
      <rPr>
        <b val="true"/>
        <sz val="10"/>
        <color rgb="FF000000"/>
        <rFont val="Meiryo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月）</t>
    </r>
  </si>
  <si>
    <t xml:space="preserve">（例）レンタルサーバー</t>
  </si>
  <si>
    <t xml:space="preserve">年払いを月割</t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</si>
  <si>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Meiryo"/>
        <family val="0"/>
        <charset val="1"/>
      </rPr>
      <t xml:space="preserve">AI</t>
    </r>
    <r>
      <rPr>
        <sz val="10"/>
        <color rgb="FF0000FF"/>
        <rFont val="WenQuanYi Zen Hei"/>
        <family val="2"/>
      </rPr>
      <t xml:space="preserve">ツール</t>
    </r>
  </si>
  <si>
    <t xml:space="preserve">固定費 合計</t>
  </si>
  <si>
    <r>
      <rPr>
        <b val="true"/>
        <sz val="11"/>
        <color rgb="FFFFFFFF"/>
        <rFont val="WenQuanYi Zen Hei"/>
        <family val="2"/>
      </rPr>
      <t xml:space="preserve">８ 必要な資金と調達方法（初期費用と、その出どころ）　← ステップ</t>
    </r>
    <r>
      <rPr>
        <b val="true"/>
        <sz val="11"/>
        <color rgb="FFFFFFFF"/>
        <rFont val="Meiryo"/>
        <family val="0"/>
        <charset val="1"/>
      </rPr>
      <t xml:space="preserve">0</t>
    </r>
  </si>
  <si>
    <t xml:space="preserve">初期費用の内訳</t>
  </si>
  <si>
    <t xml:space="preserve">見積先</t>
  </si>
  <si>
    <t xml:space="preserve">金額（円）</t>
  </si>
  <si>
    <t xml:space="preserve">調達方法</t>
  </si>
  <si>
    <t xml:space="preserve">（例）ドメイン・サーバー初期費用</t>
  </si>
  <si>
    <t xml:space="preserve">〇〇サーバー</t>
  </si>
  <si>
    <t xml:space="preserve">（例）自己資金</t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</si>
  <si>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Meiryo"/>
        <family val="0"/>
        <charset val="1"/>
      </rPr>
      <t xml:space="preserve">WordPress</t>
    </r>
    <r>
      <rPr>
        <sz val="10"/>
        <color rgb="FF0000FF"/>
        <rFont val="WenQuanYi Zen Hei"/>
        <family val="2"/>
      </rPr>
      <t xml:space="preserve">テーマ</t>
    </r>
  </si>
  <si>
    <t xml:space="preserve">〇〇テーマ</t>
  </si>
  <si>
    <t xml:space="preserve">（例）体験用の商品購入（セルフバック可）</t>
  </si>
  <si>
    <t xml:space="preserve">初期費用 合計</t>
  </si>
  <si>
    <t xml:space="preserve">調達 合計</t>
  </si>
  <si>
    <t xml:space="preserve">差引（調達－費用）</t>
  </si>
  <si>
    <r>
      <rPr>
        <b val="true"/>
        <sz val="11"/>
        <color rgb="FFFFFFFF"/>
        <rFont val="WenQuanYi Zen Hei"/>
        <family val="2"/>
      </rPr>
      <t xml:space="preserve">９ 事業の見通し（月平均）　← ステップ</t>
    </r>
    <r>
      <rPr>
        <b val="true"/>
        <sz val="11"/>
        <color rgb="FFFFFFFF"/>
        <rFont val="Meiryo"/>
        <family val="0"/>
        <charset val="1"/>
      </rPr>
      <t xml:space="preserve">0</t>
    </r>
    <r>
      <rPr>
        <b val="true"/>
        <sz val="11"/>
        <color rgb="FFFFFFFF"/>
        <rFont val="WenQuanYi Zen Hei"/>
        <family val="2"/>
      </rPr>
      <t xml:space="preserve">で仮置き、ステップ</t>
    </r>
    <r>
      <rPr>
        <b val="true"/>
        <sz val="11"/>
        <color rgb="FFFFFFFF"/>
        <rFont val="Meiryo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で実測に更新</t>
    </r>
  </si>
  <si>
    <r>
      <rPr>
        <b val="true"/>
        <sz val="10"/>
        <color rgb="FF000000"/>
        <rFont val="WenQuanYi Zen Hei"/>
        <family val="2"/>
      </rPr>
      <t xml:space="preserve">創業当初（公開</t>
    </r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か月後）</t>
    </r>
  </si>
  <si>
    <r>
      <rPr>
        <b val="true"/>
        <sz val="10"/>
        <color rgb="FF000000"/>
        <rFont val="Meiryo"/>
        <family val="0"/>
        <charset val="1"/>
      </rPr>
      <t xml:space="preserve">12</t>
    </r>
    <r>
      <rPr>
        <b val="true"/>
        <sz val="10"/>
        <color rgb="FF000000"/>
        <rFont val="WenQuanYi Zen Hei"/>
        <family val="2"/>
      </rPr>
      <t xml:space="preserve">か月後（軌道に乗った後）</t>
    </r>
  </si>
  <si>
    <r>
      <rPr>
        <b val="true"/>
        <sz val="10"/>
        <color rgb="FF000000"/>
        <rFont val="WenQuanYi Zen Hei"/>
        <family val="2"/>
      </rPr>
      <t xml:space="preserve">根拠（</t>
    </r>
    <r>
      <rPr>
        <b val="true"/>
        <sz val="10"/>
        <color rgb="FF000000"/>
        <rFont val="Meiryo"/>
        <family val="0"/>
        <charset val="1"/>
      </rPr>
      <t xml:space="preserve">M&amp;A</t>
    </r>
    <r>
      <rPr>
        <b val="true"/>
        <sz val="10"/>
        <color rgb="FF000000"/>
        <rFont val="WenQuanYi Zen Hei"/>
        <family val="2"/>
      </rPr>
      <t xml:space="preserve">実例／仮置き／実測のどれか。出典を書く）</t>
    </r>
  </si>
  <si>
    <r>
      <rPr>
        <b val="true"/>
        <sz val="10"/>
        <color rgb="FF000000"/>
        <rFont val="WenQuanYi Zen Hei"/>
        <family val="2"/>
      </rPr>
      <t xml:space="preserve">月間</t>
    </r>
    <r>
      <rPr>
        <b val="true"/>
        <sz val="10"/>
        <color rgb="FF000000"/>
        <rFont val="Meiryo"/>
        <family val="0"/>
        <charset val="1"/>
      </rPr>
      <t xml:space="preserve">PV</t>
    </r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</si>
  <si>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Meiryo"/>
        <family val="0"/>
        <charset val="1"/>
      </rPr>
      <t xml:space="preserve">M&amp;A</t>
    </r>
    <r>
      <rPr>
        <sz val="10"/>
        <color rgb="FF0000FF"/>
        <rFont val="WenQuanYi Zen Hei"/>
        <family val="2"/>
      </rPr>
      <t xml:space="preserve">実例：同ジャンル</t>
    </r>
    <r>
      <rPr>
        <sz val="10"/>
        <color rgb="FF0000FF"/>
        <rFont val="Meiryo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記事・</t>
    </r>
    <r>
      <rPr>
        <sz val="10"/>
        <color rgb="FF0000FF"/>
        <rFont val="Meiryo"/>
        <family val="0"/>
        <charset val="1"/>
      </rPr>
      <t xml:space="preserve">287PV</t>
    </r>
    <r>
      <rPr>
        <sz val="10"/>
        <color rgb="FF0000FF"/>
        <rFont val="WenQuanYi Zen Hei"/>
        <family val="2"/>
      </rPr>
      <t xml:space="preserve">。</t>
    </r>
    <r>
      <rPr>
        <sz val="10"/>
        <color rgb="FF0000FF"/>
        <rFont val="Meiryo"/>
        <family val="0"/>
        <charset val="1"/>
      </rPr>
      <t xml:space="preserve">12</t>
    </r>
    <r>
      <rPr>
        <sz val="10"/>
        <color rgb="FF0000FF"/>
        <rFont val="WenQuanYi Zen Hei"/>
        <family val="2"/>
      </rPr>
      <t xml:space="preserve">か月後は逆算シートの必要</t>
    </r>
    <r>
      <rPr>
        <sz val="10"/>
        <color rgb="FF0000FF"/>
        <rFont val="Meiryo"/>
        <family val="0"/>
        <charset val="1"/>
      </rPr>
      <t xml:space="preserve">PV</t>
    </r>
  </si>
  <si>
    <t xml:space="preserve">記事→案件ページ遷移率</t>
  </si>
  <si>
    <r>
      <rPr>
        <sz val="10"/>
        <color rgb="FF0000FF"/>
        <rFont val="WenQuanYi Zen Hei"/>
        <family val="2"/>
      </rPr>
      <t xml:space="preserve">（例）仮置き。成約記事</t>
    </r>
    <r>
      <rPr>
        <sz val="10"/>
        <color rgb="FF0000FF"/>
        <rFont val="Meiryo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〜</t>
    </r>
    <r>
      <rPr>
        <sz val="10"/>
        <color rgb="FF0000FF"/>
        <rFont val="Meiryo"/>
        <family val="0"/>
        <charset val="1"/>
      </rPr>
      <t xml:space="preserve">30%</t>
    </r>
    <r>
      <rPr>
        <sz val="10"/>
        <color rgb="FF0000FF"/>
        <rFont val="WenQuanYi Zen Hei"/>
        <family val="2"/>
      </rPr>
      <t xml:space="preserve">・集客記事</t>
    </r>
    <r>
      <rPr>
        <sz val="10"/>
        <color rgb="FF0000FF"/>
        <rFont val="Meiryo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〜</t>
    </r>
    <r>
      <rPr>
        <sz val="10"/>
        <color rgb="FF0000FF"/>
        <rFont val="Meiryo"/>
        <family val="0"/>
        <charset val="1"/>
      </rPr>
      <t xml:space="preserve">5%</t>
    </r>
    <r>
      <rPr>
        <sz val="10"/>
        <color rgb="FF0000FF"/>
        <rFont val="WenQuanYi Zen Hei"/>
        <family val="2"/>
      </rPr>
      <t xml:space="preserve">の混合値。公開</t>
    </r>
    <r>
      <rPr>
        <sz val="10"/>
        <color rgb="FF0000FF"/>
        <rFont val="Meiryo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か月後に</t>
    </r>
    <r>
      <rPr>
        <sz val="10"/>
        <color rgb="FF0000FF"/>
        <rFont val="Meiryo"/>
        <family val="0"/>
        <charset val="1"/>
      </rPr>
      <t xml:space="preserve">GA4</t>
    </r>
    <r>
      <rPr>
        <sz val="10"/>
        <color rgb="FF0000FF"/>
        <rFont val="WenQuanYi Zen Hei"/>
        <family val="2"/>
      </rPr>
      <t xml:space="preserve">で実測へ</t>
    </r>
  </si>
  <si>
    <t xml:space="preserve">案件ページ→成約率</t>
  </si>
  <si>
    <r>
      <rPr>
        <sz val="10"/>
        <color rgb="FF0000FF"/>
        <rFont val="WenQuanYi Zen Hei"/>
        <family val="2"/>
      </rPr>
      <t xml:space="preserve">（例）仮置き。有料契約系</t>
    </r>
    <r>
      <rPr>
        <sz val="10"/>
        <color rgb="FF0000FF"/>
        <rFont val="Meiryo"/>
        <family val="0"/>
        <charset val="1"/>
      </rPr>
      <t xml:space="preserve">0.5</t>
    </r>
    <r>
      <rPr>
        <sz val="10"/>
        <color rgb="FF0000FF"/>
        <rFont val="WenQuanYi Zen Hei"/>
        <family val="2"/>
      </rPr>
      <t xml:space="preserve">〜</t>
    </r>
    <r>
      <rPr>
        <sz val="10"/>
        <color rgb="FF0000FF"/>
        <rFont val="Meiryo"/>
        <family val="0"/>
        <charset val="1"/>
      </rPr>
      <t xml:space="preserve">3%</t>
    </r>
    <r>
      <rPr>
        <sz val="10"/>
        <color rgb="FF0000FF"/>
        <rFont val="WenQuanYi Zen Hei"/>
        <family val="2"/>
      </rPr>
      <t xml:space="preserve">の低め。</t>
    </r>
    <r>
      <rPr>
        <sz val="10"/>
        <color rgb="FF0000FF"/>
        <rFont val="Meiryo"/>
        <family val="0"/>
        <charset val="1"/>
      </rPr>
      <t xml:space="preserve">ASP</t>
    </r>
    <r>
      <rPr>
        <sz val="10"/>
        <color rgb="FF0000FF"/>
        <rFont val="WenQuanYi Zen Hei"/>
        <family val="2"/>
      </rPr>
      <t xml:space="preserve">実測で差し替え</t>
    </r>
  </si>
  <si>
    <r>
      <rPr>
        <b val="true"/>
        <sz val="10"/>
        <color rgb="FF000000"/>
        <rFont val="WenQuanYi Zen Hei"/>
        <family val="2"/>
      </rPr>
      <t xml:space="preserve">発生件数</t>
    </r>
    <r>
      <rPr>
        <b val="true"/>
        <sz val="10"/>
        <color rgb="FF000000"/>
        <rFont val="Meiryo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月</t>
    </r>
  </si>
  <si>
    <r>
      <rPr>
        <sz val="10"/>
        <color rgb="FF0000FF"/>
        <rFont val="WenQuanYi Zen Hei"/>
        <family val="2"/>
      </rPr>
      <t xml:space="preserve">計算：</t>
    </r>
    <r>
      <rPr>
        <sz val="10"/>
        <color rgb="FF0000FF"/>
        <rFont val="Meiryo"/>
        <family val="0"/>
        <charset val="1"/>
      </rPr>
      <t xml:space="preserve">PV×</t>
    </r>
    <r>
      <rPr>
        <sz val="10"/>
        <color rgb="FF0000FF"/>
        <rFont val="WenQuanYi Zen Hei"/>
        <family val="2"/>
      </rPr>
      <t xml:space="preserve">遷移率</t>
    </r>
    <r>
      <rPr>
        <sz val="10"/>
        <color rgb="FF0000FF"/>
        <rFont val="Meiryo"/>
        <family val="0"/>
        <charset val="1"/>
      </rPr>
      <t xml:space="preserve">×</t>
    </r>
    <r>
      <rPr>
        <sz val="10"/>
        <color rgb="FF0000FF"/>
        <rFont val="WenQuanYi Zen Hei"/>
        <family val="2"/>
      </rPr>
      <t xml:space="preserve">成約率</t>
    </r>
  </si>
  <si>
    <t xml:space="preserve">（例）主力案件の確定率（案件評価表）</t>
  </si>
  <si>
    <r>
      <rPr>
        <b val="true"/>
        <sz val="10"/>
        <color rgb="FF000000"/>
        <rFont val="WenQuanYi Zen Hei"/>
        <family val="2"/>
      </rPr>
      <t xml:space="preserve">確定件数</t>
    </r>
    <r>
      <rPr>
        <b val="true"/>
        <sz val="10"/>
        <color rgb="FF000000"/>
        <rFont val="Meiryo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月</t>
    </r>
  </si>
  <si>
    <r>
      <rPr>
        <sz val="10"/>
        <color rgb="FF0000FF"/>
        <rFont val="WenQuanYi Zen Hei"/>
        <family val="2"/>
      </rPr>
      <t xml:space="preserve">計算：発生件数</t>
    </r>
    <r>
      <rPr>
        <sz val="10"/>
        <color rgb="FF0000FF"/>
        <rFont val="Meiryo"/>
        <family val="0"/>
        <charset val="1"/>
      </rPr>
      <t xml:space="preserve">×</t>
    </r>
    <r>
      <rPr>
        <sz val="10"/>
        <color rgb="FF0000FF"/>
        <rFont val="WenQuanYi Zen Hei"/>
        <family val="2"/>
      </rPr>
      <t xml:space="preserve">確定率</t>
    </r>
  </si>
  <si>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件あたり報酬（円）</t>
    </r>
  </si>
  <si>
    <t xml:space="preserve">（例）主力案件の成果報酬。複数案件ならシェア加重</t>
  </si>
  <si>
    <t xml:space="preserve">売上（確定報酬）①</t>
  </si>
  <si>
    <r>
      <rPr>
        <sz val="10"/>
        <color rgb="FF0000FF"/>
        <rFont val="WenQuanYi Zen Hei"/>
        <family val="2"/>
      </rPr>
      <t xml:space="preserve">計算：確定件数</t>
    </r>
    <r>
      <rPr>
        <sz val="10"/>
        <color rgb="FF0000FF"/>
        <rFont val="Meiryo"/>
        <family val="0"/>
        <charset val="1"/>
      </rPr>
      <t xml:space="preserve">×1</t>
    </r>
    <r>
      <rPr>
        <sz val="10"/>
        <color rgb="FF0000FF"/>
        <rFont val="WenQuanYi Zen Hei"/>
        <family val="2"/>
      </rPr>
      <t xml:space="preserve">件あたり報酬</t>
    </r>
  </si>
  <si>
    <t xml:space="preserve">経費②（固定費＋外注）</t>
  </si>
  <si>
    <t xml:space="preserve">計算：７の固定費合計。外注を使うなら手で足す</t>
  </si>
  <si>
    <t xml:space="preserve">利益 ①－②</t>
  </si>
  <si>
    <t xml:space="preserve">計算</t>
  </si>
  <si>
    <r>
      <rPr>
        <sz val="10"/>
        <color rgb="FF000000"/>
        <rFont val="WenQuanYi Zen Hei"/>
        <family val="2"/>
      </rPr>
      <t xml:space="preserve">目標との差（</t>
    </r>
    <r>
      <rPr>
        <sz val="10"/>
        <color rgb="FF000000"/>
        <rFont val="Meiryo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か月後 売上 － 目標月収）</t>
    </r>
  </si>
  <si>
    <t xml:space="preserve">１０ 自由記述（不安・リスク・欲しいアドバイス。創業計画書チャットに出すときの質問）</t>
  </si>
  <si>
    <t xml:space="preserve">（例）主力案件の確定率が「ー」で仮置きしている。成果地点が「本体購入」なので遠いと感じるが、レビュー記事で押し切れるか意見がほしい</t>
  </si>
  <si>
    <r>
      <rPr>
        <b val="true"/>
        <sz val="14"/>
        <color rgb="FF000000"/>
        <rFont val="WenQuanYi Zen Hei"/>
        <family val="2"/>
      </rPr>
      <t xml:space="preserve">逆算・見通し（ステップ</t>
    </r>
    <r>
      <rPr>
        <b val="true"/>
        <sz val="14"/>
        <color rgb="FF000000"/>
        <rFont val="Meiryo"/>
        <family val="0"/>
        <charset val="1"/>
      </rPr>
      <t xml:space="preserve">0</t>
    </r>
    <r>
      <rPr>
        <b val="true"/>
        <sz val="14"/>
        <color rgb="FF000000"/>
        <rFont val="WenQuanYi Zen Hei"/>
        <family val="2"/>
      </rPr>
      <t xml:space="preserve">）</t>
    </r>
  </si>
  <si>
    <r>
      <rPr>
        <b val="true"/>
        <sz val="11"/>
        <color rgb="FFFFFFFF"/>
        <rFont val="Meiryo"/>
        <family val="0"/>
        <charset val="1"/>
      </rPr>
      <t xml:space="preserve">A. </t>
    </r>
    <r>
      <rPr>
        <b val="true"/>
        <sz val="11"/>
        <color rgb="FFFFFFFF"/>
        <rFont val="WenQuanYi Zen Hei"/>
        <family val="2"/>
      </rPr>
      <t xml:space="preserve">ラッコ</t>
    </r>
    <r>
      <rPr>
        <b val="true"/>
        <sz val="11"/>
        <color rgb="FFFFFFFF"/>
        <rFont val="Meiryo"/>
        <family val="0"/>
        <charset val="1"/>
      </rPr>
      <t xml:space="preserve">M&amp;A</t>
    </r>
    <r>
      <rPr>
        <b val="true"/>
        <sz val="11"/>
        <color rgb="FFFFFFFF"/>
        <rFont val="WenQuanYi Zen Hei"/>
        <family val="2"/>
      </rPr>
      <t xml:space="preserve">の実データ（候補ジャンルごとに成約事例を</t>
    </r>
    <r>
      <rPr>
        <b val="true"/>
        <sz val="11"/>
        <color rgb="FFFFFFFF"/>
        <rFont val="Meiryo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件以上）</t>
    </r>
  </si>
  <si>
    <t xml:space="preserve">ジャンル</t>
  </si>
  <si>
    <r>
      <rPr>
        <b val="true"/>
        <sz val="10"/>
        <color rgb="FF000000"/>
        <rFont val="WenQuanYi Zen Hei"/>
        <family val="2"/>
      </rPr>
      <t xml:space="preserve">売上</t>
    </r>
    <r>
      <rPr>
        <b val="true"/>
        <sz val="10"/>
        <color rgb="FF000000"/>
        <rFont val="Meiryo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月（円）</t>
    </r>
  </si>
  <si>
    <r>
      <rPr>
        <b val="true"/>
        <sz val="10"/>
        <color rgb="FF000000"/>
        <rFont val="Meiryo"/>
        <family val="0"/>
        <charset val="1"/>
      </rPr>
      <t xml:space="preserve">PV/</t>
    </r>
    <r>
      <rPr>
        <b val="true"/>
        <sz val="10"/>
        <color rgb="FF000000"/>
        <rFont val="WenQuanYi Zen Hei"/>
        <family val="2"/>
      </rPr>
      <t xml:space="preserve">月</t>
    </r>
  </si>
  <si>
    <t xml:space="preserve">記事数</t>
  </si>
  <si>
    <r>
      <rPr>
        <b val="true"/>
        <sz val="10"/>
        <color rgb="FF000000"/>
        <rFont val="WenQuanYi Zen Hei"/>
        <family val="2"/>
      </rPr>
      <t xml:space="preserve">売上</t>
    </r>
    <r>
      <rPr>
        <b val="true"/>
        <sz val="10"/>
        <color rgb="FF000000"/>
        <rFont val="Meiryo"/>
        <family val="0"/>
        <charset val="1"/>
      </rPr>
      <t xml:space="preserve">÷PV</t>
    </r>
    <r>
      <rPr>
        <b val="true"/>
        <sz val="10"/>
        <color rgb="FF000000"/>
        <rFont val="WenQuanYi Zen Hei"/>
        <family val="2"/>
      </rPr>
      <t xml:space="preserve">（円</t>
    </r>
    <r>
      <rPr>
        <b val="true"/>
        <sz val="10"/>
        <color rgb="FF000000"/>
        <rFont val="Meiryo"/>
        <family val="0"/>
        <charset val="1"/>
      </rPr>
      <t xml:space="preserve">/PV</t>
    </r>
    <r>
      <rPr>
        <b val="true"/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</si>
  <si>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Meiryo"/>
        <family val="0"/>
        <charset val="1"/>
      </rPr>
      <t xml:space="preserve">PV÷</t>
    </r>
    <r>
      <rPr>
        <b val="true"/>
        <sz val="10"/>
        <color rgb="FF000000"/>
        <rFont val="WenQuanYi Zen Hei"/>
        <family val="2"/>
      </rPr>
      <t xml:space="preserve">記事数（</t>
    </r>
    <r>
      <rPr>
        <b val="true"/>
        <sz val="10"/>
        <color rgb="FF000000"/>
        <rFont val="Meiryo"/>
        <family val="0"/>
        <charset val="1"/>
      </rPr>
      <t xml:space="preserve">PV/</t>
    </r>
    <r>
      <rPr>
        <b val="true"/>
        <sz val="10"/>
        <color rgb="FF000000"/>
        <rFont val="WenQuanYi Zen Hei"/>
        <family val="2"/>
      </rPr>
      <t xml:space="preserve">記事）</t>
    </r>
  </si>
  <si>
    <r>
      <rPr>
        <b val="true"/>
        <sz val="10"/>
        <color rgb="FF000000"/>
        <rFont val="WenQuanYi Zen Hei"/>
        <family val="2"/>
      </rPr>
      <t xml:space="preserve">収益源（案件・</t>
    </r>
    <r>
      <rPr>
        <b val="true"/>
        <sz val="10"/>
        <color rgb="FF000000"/>
        <rFont val="Meiryo"/>
        <family val="0"/>
        <charset val="1"/>
      </rPr>
      <t xml:space="preserve">ASP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</si>
  <si>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取得日</t>
  </si>
  <si>
    <t xml:space="preserve">（例）宅食レビュー</t>
  </si>
  <si>
    <r>
      <rPr>
        <sz val="10"/>
        <color rgb="FF0000FF"/>
        <rFont val="Meiryo"/>
        <family val="0"/>
        <charset val="1"/>
      </rPr>
      <t xml:space="preserve">nosh</t>
    </r>
    <r>
      <rPr>
        <sz val="10"/>
        <color rgb="FF0000FF"/>
        <rFont val="WenQuanYi Zen Hei"/>
        <family val="2"/>
      </rPr>
      <t xml:space="preserve">・つくりおき</t>
    </r>
    <r>
      <rPr>
        <sz val="10"/>
        <color rgb="FF0000FF"/>
        <rFont val="Meiryo"/>
        <family val="0"/>
        <charset val="1"/>
      </rPr>
      <t xml:space="preserve">.jp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Meiryo"/>
        <family val="0"/>
        <charset val="1"/>
      </rPr>
      <t xml:space="preserve">A8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</si>
  <si>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（例）見守り</t>
    </r>
    <r>
      <rPr>
        <sz val="10"/>
        <color rgb="FF0000FF"/>
        <rFont val="Meiryo"/>
        <family val="0"/>
        <charset val="1"/>
      </rPr>
      <t xml:space="preserve">GPS</t>
    </r>
  </si>
  <si>
    <r>
      <rPr>
        <sz val="10"/>
        <color rgb="FF0000FF"/>
        <rFont val="WenQuanYi Zen Hei"/>
        <family val="2"/>
      </rPr>
      <t xml:space="preserve">〇〇</t>
    </r>
    <r>
      <rPr>
        <sz val="10"/>
        <color rgb="FF0000FF"/>
        <rFont val="Meiryo"/>
        <family val="0"/>
        <charset val="1"/>
      </rPr>
      <t xml:space="preserve">GPS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Meiryo"/>
        <family val="0"/>
        <charset val="1"/>
      </rPr>
      <t xml:space="preserve">A8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</si>
  <si>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Meiryo"/>
        <family val="0"/>
        <charset val="1"/>
      </rPr>
      <t xml:space="preserve">△△GPS</t>
    </r>
    <r>
      <rPr>
        <sz val="10"/>
        <color rgb="FF0000FF"/>
        <rFont val="WenQuanYi Zen Hei"/>
        <family val="2"/>
      </rPr>
      <t xml:space="preserve">（もしも）</t>
    </r>
  </si>
  <si>
    <t xml:space="preserve">平均（事例がある行のみ）</t>
  </si>
  <si>
    <r>
      <rPr>
        <b val="true"/>
        <sz val="11"/>
        <color rgb="FFFFFFFF"/>
        <rFont val="Meiryo"/>
        <family val="0"/>
        <charset val="1"/>
      </rPr>
      <t xml:space="preserve">B. </t>
    </r>
    <r>
      <rPr>
        <b val="true"/>
        <sz val="11"/>
        <color rgb="FFFFFFFF"/>
        <rFont val="WenQuanYi Zen Hei"/>
        <family val="2"/>
      </rPr>
      <t xml:space="preserve">逆算（</t>
    </r>
    <r>
      <rPr>
        <b val="true"/>
        <sz val="11"/>
        <color rgb="FFFFFFFF"/>
        <rFont val="Meiryo"/>
        <family val="0"/>
        <charset val="1"/>
      </rPr>
      <t xml:space="preserve">M&amp;A</t>
    </r>
    <r>
      <rPr>
        <b val="true"/>
        <sz val="11"/>
        <color rgb="FFFFFFFF"/>
        <rFont val="WenQuanYi Zen Hei"/>
        <family val="2"/>
      </rPr>
      <t xml:space="preserve">実データを優先。事例がなければ仮置きを使い、根拠欄に『仮置き』と書く）</t>
    </r>
  </si>
  <si>
    <t xml:space="preserve">値</t>
  </si>
  <si>
    <t xml:space="preserve">根拠・出典</t>
  </si>
  <si>
    <t xml:space="preserve">目標月収（確定報酬・円）</t>
  </si>
  <si>
    <t xml:space="preserve">創業計画書 １ から参照</t>
  </si>
  <si>
    <r>
      <rPr>
        <b val="true"/>
        <sz val="10"/>
        <color rgb="FF000000"/>
        <rFont val="Meiryo"/>
        <family val="0"/>
        <charset val="1"/>
      </rPr>
      <t xml:space="preserve">1PV</t>
    </r>
    <r>
      <rPr>
        <b val="true"/>
        <sz val="10"/>
        <color rgb="FF000000"/>
        <rFont val="WenQuanYi Zen Hei"/>
        <family val="2"/>
      </rPr>
      <t xml:space="preserve">あたり収益（円</t>
    </r>
    <r>
      <rPr>
        <b val="true"/>
        <sz val="10"/>
        <color rgb="FF000000"/>
        <rFont val="Meiryo"/>
        <family val="0"/>
        <charset val="1"/>
      </rPr>
      <t xml:space="preserve">/PV</t>
    </r>
    <r>
      <rPr>
        <b val="true"/>
        <sz val="10"/>
        <color rgb="FF000000"/>
        <rFont val="WenQuanYi Zen Hei"/>
        <family val="2"/>
      </rPr>
      <t xml:space="preserve">）</t>
    </r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</si>
  <si>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Meiryo"/>
        <family val="0"/>
        <charset val="1"/>
      </rPr>
      <t xml:space="preserve">A</t>
    </r>
    <r>
      <rPr>
        <sz val="10"/>
        <color rgb="FF0000FF"/>
        <rFont val="WenQuanYi Zen Hei"/>
        <family val="2"/>
      </rPr>
      <t xml:space="preserve">表の平均。仮置きなら「遷移率</t>
    </r>
    <r>
      <rPr>
        <sz val="10"/>
        <color rgb="FF0000FF"/>
        <rFont val="Meiryo"/>
        <family val="0"/>
        <charset val="1"/>
      </rPr>
      <t xml:space="preserve">20%×</t>
    </r>
    <r>
      <rPr>
        <sz val="10"/>
        <color rgb="FF0000FF"/>
        <rFont val="WenQuanYi Zen Hei"/>
        <family val="2"/>
      </rPr>
      <t xml:space="preserve">成約率</t>
    </r>
    <r>
      <rPr>
        <sz val="10"/>
        <color rgb="FF0000FF"/>
        <rFont val="Meiryo"/>
        <family val="0"/>
        <charset val="1"/>
      </rPr>
      <t xml:space="preserve">1%×</t>
    </r>
    <r>
      <rPr>
        <sz val="10"/>
        <color rgb="FF0000FF"/>
        <rFont val="WenQuanYi Zen Hei"/>
        <family val="2"/>
      </rPr>
      <t xml:space="preserve">報酬</t>
    </r>
    <r>
      <rPr>
        <sz val="10"/>
        <color rgb="FF0000FF"/>
        <rFont val="Meiryo"/>
        <family val="0"/>
        <charset val="1"/>
      </rPr>
      <t xml:space="preserve">6,000</t>
    </r>
    <r>
      <rPr>
        <sz val="10"/>
        <color rgb="FF0000FF"/>
        <rFont val="WenQuanYi Zen Hei"/>
        <family val="2"/>
      </rPr>
      <t xml:space="preserve">円</t>
    </r>
    <r>
      <rPr>
        <sz val="10"/>
        <color rgb="FF0000FF"/>
        <rFont val="Meiryo"/>
        <family val="0"/>
        <charset val="1"/>
      </rPr>
      <t xml:space="preserve">=12</t>
    </r>
    <r>
      <rPr>
        <sz val="10"/>
        <color rgb="FF0000FF"/>
        <rFont val="WenQuanYi Zen Hei"/>
        <family val="2"/>
      </rPr>
      <t xml:space="preserve">円</t>
    </r>
    <r>
      <rPr>
        <sz val="10"/>
        <color rgb="FF0000FF"/>
        <rFont val="Meiryo"/>
        <family val="0"/>
        <charset val="1"/>
      </rPr>
      <t xml:space="preserve">/PV</t>
    </r>
    <r>
      <rPr>
        <sz val="10"/>
        <color rgb="FF0000FF"/>
        <rFont val="WenQuanYi Zen Hei"/>
        <family val="2"/>
      </rPr>
      <t xml:space="preserve">」のように式を書く</t>
    </r>
  </si>
  <si>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記事あたり月間</t>
    </r>
    <r>
      <rPr>
        <b val="true"/>
        <sz val="10"/>
        <color rgb="FF000000"/>
        <rFont val="Meiryo"/>
        <family val="0"/>
        <charset val="1"/>
      </rPr>
      <t xml:space="preserve">PV</t>
    </r>
  </si>
  <si>
    <r>
      <rPr>
        <sz val="10"/>
        <color rgb="FF0000FF"/>
        <rFont val="WenQuanYi Zen Hei"/>
        <family val="2"/>
      </rPr>
      <t xml:space="preserve">（例）</t>
    </r>
    <r>
      <rPr>
        <sz val="10"/>
        <color rgb="FF0000FF"/>
        <rFont val="Meiryo"/>
        <family val="0"/>
        <charset val="1"/>
      </rPr>
      <t xml:space="preserve">A</t>
    </r>
    <r>
      <rPr>
        <sz val="10"/>
        <color rgb="FF0000FF"/>
        <rFont val="WenQuanYi Zen Hei"/>
        <family val="2"/>
      </rPr>
      <t xml:space="preserve">表の平均。仮置きなら「</t>
    </r>
    <r>
      <rPr>
        <sz val="10"/>
        <color rgb="FF0000FF"/>
        <rFont val="Meiryo"/>
        <family val="0"/>
        <charset val="1"/>
      </rPr>
      <t xml:space="preserve">300</t>
    </r>
    <r>
      <rPr>
        <sz val="10"/>
        <color rgb="FF0000FF"/>
        <rFont val="WenQuanYi Zen Hei"/>
        <family val="2"/>
      </rPr>
      <t xml:space="preserve">」</t>
    </r>
  </si>
  <si>
    <r>
      <rPr>
        <b val="true"/>
        <sz val="10"/>
        <color rgb="FF000000"/>
        <rFont val="WenQuanYi Zen Hei"/>
        <family val="2"/>
      </rPr>
      <t xml:space="preserve">必要月間</t>
    </r>
    <r>
      <rPr>
        <b val="true"/>
        <sz val="10"/>
        <color rgb="FF000000"/>
        <rFont val="Meiryo"/>
        <family val="0"/>
        <charset val="1"/>
      </rPr>
      <t xml:space="preserve">PV</t>
    </r>
  </si>
  <si>
    <r>
      <rPr>
        <sz val="10"/>
        <color rgb="FF000000"/>
        <rFont val="WenQuanYi Zen Hei"/>
        <family val="2"/>
      </rPr>
      <t xml:space="preserve">計算：目標月収 </t>
    </r>
    <r>
      <rPr>
        <sz val="10"/>
        <color rgb="FF000000"/>
        <rFont val="Meiryo"/>
        <family val="0"/>
        <charset val="1"/>
      </rPr>
      <t xml:space="preserve">÷ 1PV</t>
    </r>
    <r>
      <rPr>
        <sz val="10"/>
        <color rgb="FF000000"/>
        <rFont val="WenQuanYi Zen Hei"/>
        <family val="2"/>
      </rPr>
      <t xml:space="preserve">あたり収益</t>
    </r>
  </si>
  <si>
    <t xml:space="preserve">必要記事数</t>
  </si>
  <si>
    <r>
      <rPr>
        <sz val="10"/>
        <color rgb="FF000000"/>
        <rFont val="WenQuanYi Zen Hei"/>
        <family val="2"/>
      </rPr>
      <t xml:space="preserve">計算：必要月間</t>
    </r>
    <r>
      <rPr>
        <sz val="10"/>
        <color rgb="FF000000"/>
        <rFont val="Meiryo"/>
        <family val="0"/>
        <charset val="1"/>
      </rPr>
      <t xml:space="preserve">PV ÷ 1</t>
    </r>
    <r>
      <rPr>
        <sz val="10"/>
        <color rgb="FF000000"/>
        <rFont val="WenQuanYi Zen Hei"/>
        <family val="2"/>
      </rPr>
      <t xml:space="preserve">記事あたり月間</t>
    </r>
    <r>
      <rPr>
        <sz val="10"/>
        <color rgb="FF000000"/>
        <rFont val="Meiryo"/>
        <family val="0"/>
        <charset val="1"/>
      </rPr>
      <t xml:space="preserve">PV</t>
    </r>
    <r>
      <rPr>
        <sz val="10"/>
        <color rgb="FF000000"/>
        <rFont val="WenQuanYi Zen Hei"/>
        <family val="2"/>
      </rPr>
      <t xml:space="preserve">（切り上げ）</t>
    </r>
  </si>
  <si>
    <t xml:space="preserve">創業計画書 ４ から参照（実績ベースの投下時間で決める）</t>
  </si>
  <si>
    <t xml:space="preserve">必要記事数に到達するまでの週数</t>
  </si>
  <si>
    <r>
      <rPr>
        <sz val="10"/>
        <color rgb="FF000000"/>
        <rFont val="WenQuanYi Zen Hei"/>
        <family val="2"/>
      </rPr>
      <t xml:space="preserve">計算：必要記事数 </t>
    </r>
    <r>
      <rPr>
        <sz val="10"/>
        <color rgb="FF000000"/>
        <rFont val="Meiryo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週あたり本数。期限の最後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か月に書く記事は収益に計上しない（順位安定に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か月）</t>
    </r>
  </si>
  <si>
    <t xml:space="preserve">到達までの月数（目安）</t>
  </si>
  <si>
    <r>
      <rPr>
        <sz val="10"/>
        <color rgb="FF000000"/>
        <rFont val="WenQuanYi Zen Hei"/>
        <family val="2"/>
      </rPr>
      <t xml:space="preserve">計算：週数 </t>
    </r>
    <r>
      <rPr>
        <sz val="10"/>
        <color rgb="FF000000"/>
        <rFont val="Meiryo"/>
        <family val="0"/>
        <charset val="1"/>
      </rPr>
      <t xml:space="preserve">÷ 4.3</t>
    </r>
    <r>
      <rPr>
        <sz val="10"/>
        <color rgb="FF000000"/>
        <rFont val="WenQuanYi Zen Hei"/>
        <family val="2"/>
      </rPr>
      <t xml:space="preserve">。期限に収まらないなら、目標を下げる／単価を上げる／外注を入れる のどれかを選ぶ。「頑張る」は選択肢に入れない</t>
    </r>
  </si>
  <si>
    <r>
      <rPr>
        <b val="true"/>
        <sz val="11"/>
        <color rgb="FFFFFFFF"/>
        <rFont val="Meiryo"/>
        <family val="0"/>
        <charset val="1"/>
      </rPr>
      <t xml:space="preserve">C. 12</t>
    </r>
    <r>
      <rPr>
        <b val="true"/>
        <sz val="11"/>
        <color rgb="FFFFFFFF"/>
        <rFont val="WenQuanYi Zen Hei"/>
        <family val="2"/>
      </rPr>
      <t xml:space="preserve">か月マイルストーン（前半</t>
    </r>
    <r>
      <rPr>
        <b val="true"/>
        <sz val="11"/>
        <color rgb="FFFFFFFF"/>
        <rFont val="Meiryo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か月は公開本数だけ追う。報酬は後半から立ち上がる前提）</t>
    </r>
  </si>
  <si>
    <t xml:space="preserve">月</t>
  </si>
  <si>
    <t xml:space="preserve">累計公開本数（目標）</t>
  </si>
  <si>
    <t xml:space="preserve">累計公開本数（実績）</t>
  </si>
  <si>
    <r>
      <rPr>
        <b val="true"/>
        <sz val="10"/>
        <color rgb="FF000000"/>
        <rFont val="WenQuanYi Zen Hei"/>
        <family val="2"/>
      </rPr>
      <t xml:space="preserve">月間</t>
    </r>
    <r>
      <rPr>
        <b val="true"/>
        <sz val="10"/>
        <color rgb="FF000000"/>
        <rFont val="Meiryo"/>
        <family val="0"/>
        <charset val="1"/>
      </rPr>
      <t xml:space="preserve">PV</t>
    </r>
    <r>
      <rPr>
        <b val="true"/>
        <sz val="10"/>
        <color rgb="FF000000"/>
        <rFont val="WenQuanYi Zen Hei"/>
        <family val="2"/>
      </rPr>
      <t xml:space="preserve">（実績）</t>
    </r>
  </si>
  <si>
    <t xml:space="preserve">確定報酬（目標・円）</t>
  </si>
  <si>
    <t xml:space="preserve">確定報酬（実績・円）</t>
  </si>
  <si>
    <t xml:space="preserve">メモ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</si>
  <si>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か月目</t>
    </r>
  </si>
  <si>
    <t xml:space="preserve">2026-10</t>
  </si>
  <si>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か月目</t>
    </r>
  </si>
  <si>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か月目</t>
    </r>
  </si>
  <si>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か月目</t>
    </r>
  </si>
  <si>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か月目</t>
    </r>
  </si>
  <si>
    <r>
      <rPr>
        <sz val="10"/>
        <color rgb="FF000000"/>
        <rFont val="Meiryo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か月目</t>
    </r>
  </si>
  <si>
    <r>
      <rPr>
        <sz val="10"/>
        <color rgb="FF000000"/>
        <rFont val="Meiryo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か月目</t>
    </r>
  </si>
  <si>
    <r>
      <rPr>
        <sz val="10"/>
        <color rgb="FF000000"/>
        <rFont val="Meiryo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か月目</t>
    </r>
  </si>
  <si>
    <r>
      <rPr>
        <sz val="10"/>
        <color rgb="FF000000"/>
        <rFont val="Meiryo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か月目</t>
    </r>
  </si>
  <si>
    <r>
      <rPr>
        <sz val="10"/>
        <color rgb="FF000000"/>
        <rFont val="Meiryo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か月目</t>
    </r>
  </si>
  <si>
    <r>
      <rPr>
        <sz val="10"/>
        <color rgb="FF000000"/>
        <rFont val="Meiryo"/>
        <family val="0"/>
        <charset val="1"/>
      </rPr>
      <t xml:space="preserve">11</t>
    </r>
    <r>
      <rPr>
        <sz val="10"/>
        <color rgb="FF000000"/>
        <rFont val="WenQuanYi Zen Hei"/>
        <family val="2"/>
      </rPr>
      <t xml:space="preserve">か月目</t>
    </r>
  </si>
  <si>
    <r>
      <rPr>
        <sz val="10"/>
        <color rgb="FF000000"/>
        <rFont val="Meiryo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か月目</t>
    </r>
  </si>
  <si>
    <r>
      <rPr>
        <b val="true"/>
        <sz val="12"/>
        <color rgb="FF000000"/>
        <rFont val="WenQuanYi Zen Hei"/>
        <family val="2"/>
      </rPr>
      <t xml:space="preserve">案件評価表（ステップ</t>
    </r>
    <r>
      <rPr>
        <b val="true"/>
        <sz val="12"/>
        <color rgb="FF000000"/>
        <rFont val="Meiryo"/>
        <family val="0"/>
        <charset val="1"/>
      </rPr>
      <t xml:space="preserve">1</t>
    </r>
    <r>
      <rPr>
        <b val="true"/>
        <sz val="12"/>
        <color rgb="FF000000"/>
        <rFont val="WenQuanYi Zen Hei"/>
        <family val="2"/>
      </rPr>
      <t xml:space="preserve">）　優先順位：成果報酬 ＞ 成果条件 ＞ </t>
    </r>
    <r>
      <rPr>
        <b val="true"/>
        <sz val="12"/>
        <color rgb="FF000000"/>
        <rFont val="Meiryo"/>
        <family val="0"/>
        <charset val="1"/>
      </rPr>
      <t xml:space="preserve">EPC </t>
    </r>
    <r>
      <rPr>
        <b val="true"/>
        <sz val="12"/>
        <color rgb="FF000000"/>
        <rFont val="WenQuanYi Zen Hei"/>
        <family val="2"/>
      </rPr>
      <t xml:space="preserve">＞ 確定率。「ー」はそのまま「ー」と書き、成果条件で解釈して保留に置く</t>
    </r>
  </si>
  <si>
    <t xml:space="preserve">成果地点の近さ</t>
  </si>
  <si>
    <t xml:space="preserve">EPC</t>
  </si>
  <si>
    <t xml:space="preserve">期待報酬（円）</t>
  </si>
  <si>
    <t xml:space="preserve">体験資産との適合</t>
  </si>
  <si>
    <r>
      <rPr>
        <b val="true"/>
        <sz val="10"/>
        <color rgb="FF000000"/>
        <rFont val="Meiryo"/>
        <family val="0"/>
        <charset val="1"/>
      </rPr>
      <t xml:space="preserve">NG</t>
    </r>
    <r>
      <rPr>
        <b val="true"/>
        <sz val="10"/>
        <color rgb="FF000000"/>
        <rFont val="WenQuanYi Zen Hei"/>
        <family val="2"/>
      </rPr>
      <t xml:space="preserve">表現・承認条件</t>
    </r>
  </si>
  <si>
    <r>
      <rPr>
        <b val="true"/>
        <sz val="10"/>
        <color rgb="FF000000"/>
        <rFont val="WenQuanYi Zen Hei"/>
        <family val="2"/>
      </rPr>
      <t xml:space="preserve">関連</t>
    </r>
    <r>
      <rPr>
        <b val="true"/>
        <sz val="10"/>
        <color rgb="FF000000"/>
        <rFont val="Meiryo"/>
        <family val="0"/>
        <charset val="1"/>
      </rPr>
      <t xml:space="preserve">KW</t>
    </r>
    <r>
      <rPr>
        <b val="true"/>
        <sz val="10"/>
        <color rgb="FF000000"/>
        <rFont val="WenQuanYi Zen Hei"/>
        <family val="2"/>
      </rPr>
      <t xml:space="preserve">の広がり</t>
    </r>
  </si>
  <si>
    <t xml:space="preserve">判定</t>
  </si>
  <si>
    <r>
      <rPr>
        <b val="true"/>
        <sz val="10"/>
        <color rgb="FF000000"/>
        <rFont val="WenQuanYi Zen Hei"/>
        <family val="2"/>
      </rPr>
      <t xml:space="preserve">主力</t>
    </r>
    <r>
      <rPr>
        <b val="true"/>
        <sz val="10"/>
        <color rgb="FF000000"/>
        <rFont val="Meiryo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サブ</t>
    </r>
  </si>
  <si>
    <t xml:space="preserve">落選・保留の理由</t>
  </si>
  <si>
    <t xml:space="preserve">遠い</t>
  </si>
  <si>
    <r>
      <rPr>
        <sz val="10"/>
        <color rgb="FF0000FF"/>
        <rFont val="WenQuanYi Zen Hei"/>
        <family val="2"/>
      </rPr>
      <t xml:space="preserve">医療・安全の断定</t>
    </r>
    <r>
      <rPr>
        <sz val="10"/>
        <color rgb="FF0000FF"/>
        <rFont val="Meiryo"/>
        <family val="0"/>
        <charset val="1"/>
      </rPr>
      <t xml:space="preserve">NG</t>
    </r>
  </si>
  <si>
    <r>
      <rPr>
        <sz val="10"/>
        <color rgb="FF0000FF"/>
        <rFont val="WenQuanYi Zen Hei"/>
        <family val="2"/>
      </rPr>
      <t xml:space="preserve">商標＋悩み</t>
    </r>
    <r>
      <rPr>
        <sz val="10"/>
        <color rgb="FF0000FF"/>
        <rFont val="Meiryo"/>
        <family val="0"/>
        <charset val="1"/>
      </rPr>
      <t xml:space="preserve">KW</t>
    </r>
    <r>
      <rPr>
        <sz val="10"/>
        <color rgb="FF0000FF"/>
        <rFont val="WenQuanYi Zen Hei"/>
        <family val="2"/>
      </rPr>
      <t xml:space="preserve">で広がる</t>
    </r>
  </si>
  <si>
    <t xml:space="preserve">候補</t>
  </si>
  <si>
    <t xml:space="preserve">主力</t>
  </si>
  <si>
    <t xml:space="preserve">ー</t>
  </si>
  <si>
    <t xml:space="preserve">割引率の表記条件あり</t>
  </si>
  <si>
    <t xml:space="preserve">広がる</t>
  </si>
  <si>
    <t xml:space="preserve">サブ</t>
  </si>
  <si>
    <t xml:space="preserve">（例）□□見守りアプリ 無料登録</t>
  </si>
  <si>
    <t xml:space="preserve">無料会員登録</t>
  </si>
  <si>
    <t xml:space="preserve">近い</t>
  </si>
  <si>
    <t xml:space="preserve">商標のみ</t>
  </si>
  <si>
    <t xml:space="preserve">保留</t>
  </si>
  <si>
    <r>
      <rPr>
        <sz val="10"/>
        <color rgb="FF0000FF"/>
        <rFont val="WenQuanYi Zen Hei"/>
        <family val="2"/>
      </rPr>
      <t xml:space="preserve">報酬が</t>
    </r>
    <r>
      <rPr>
        <sz val="10"/>
        <color rgb="FF0000FF"/>
        <rFont val="Meiryo"/>
        <family val="0"/>
        <charset val="1"/>
      </rPr>
      <t xml:space="preserve">2,000</t>
    </r>
    <r>
      <rPr>
        <sz val="10"/>
        <color rgb="FF0000FF"/>
        <rFont val="WenQuanYi Zen Hei"/>
        <family val="2"/>
      </rPr>
      <t xml:space="preserve">円未満。成果地点は近いので保留</t>
    </r>
  </si>
  <si>
    <r>
      <rPr>
        <b val="true"/>
        <sz val="12"/>
        <color rgb="FF000000"/>
        <rFont val="Meiryo"/>
        <family val="0"/>
        <charset val="1"/>
      </rPr>
      <t xml:space="preserve">KW</t>
    </r>
    <r>
      <rPr>
        <b val="true"/>
        <sz val="12"/>
        <color rgb="FF000000"/>
        <rFont val="WenQuanYi Zen Hei"/>
        <family val="2"/>
      </rPr>
      <t xml:space="preserve">一覧（ステップ</t>
    </r>
    <r>
      <rPr>
        <b val="true"/>
        <sz val="12"/>
        <color rgb="FF000000"/>
        <rFont val="Meiryo"/>
        <family val="0"/>
        <charset val="1"/>
      </rPr>
      <t xml:space="preserve">2</t>
    </r>
    <r>
      <rPr>
        <b val="true"/>
        <sz val="12"/>
        <color rgb="FF000000"/>
        <rFont val="WenQuanYi Zen Hei"/>
        <family val="2"/>
      </rPr>
      <t xml:space="preserve">）　シークレットモードで</t>
    </r>
    <r>
      <rPr>
        <b val="true"/>
        <sz val="12"/>
        <color rgb="FF000000"/>
        <rFont val="Meiryo"/>
        <family val="0"/>
        <charset val="1"/>
      </rPr>
      <t xml:space="preserve">1KW</t>
    </r>
    <r>
      <rPr>
        <b val="true"/>
        <sz val="12"/>
        <color rgb="FF000000"/>
        <rFont val="WenQuanYi Zen Hei"/>
        <family val="2"/>
      </rPr>
      <t xml:space="preserve">ずつ検索。</t>
    </r>
    <r>
      <rPr>
        <b val="true"/>
        <sz val="12"/>
        <color rgb="FF000000"/>
        <rFont val="Meiryo"/>
        <family val="0"/>
        <charset val="1"/>
      </rPr>
      <t xml:space="preserve">DA10</t>
    </r>
    <r>
      <rPr>
        <b val="true"/>
        <sz val="12"/>
        <color rgb="FF000000"/>
        <rFont val="WenQuanYi Zen Hei"/>
        <family val="2"/>
      </rPr>
      <t xml:space="preserve">未満＝緑、</t>
    </r>
    <r>
      <rPr>
        <b val="true"/>
        <sz val="12"/>
        <color rgb="FF000000"/>
        <rFont val="Meiryo"/>
        <family val="0"/>
        <charset val="1"/>
      </rPr>
      <t xml:space="preserve">20</t>
    </r>
    <r>
      <rPr>
        <b val="true"/>
        <sz val="12"/>
        <color rgb="FF000000"/>
        <rFont val="WenQuanYi Zen Hei"/>
        <family val="2"/>
      </rPr>
      <t xml:space="preserve">未満＝黄。判断は自分の目、転記は</t>
    </r>
    <r>
      <rPr>
        <b val="true"/>
        <sz val="12"/>
        <color rgb="FF000000"/>
        <rFont val="Meiryo"/>
        <family val="0"/>
        <charset val="1"/>
      </rPr>
      <t xml:space="preserve">AI</t>
    </r>
  </si>
  <si>
    <t xml:space="preserve">KW</t>
  </si>
  <si>
    <r>
      <rPr>
        <b val="true"/>
        <sz val="10"/>
        <color rgb="FF000000"/>
        <rFont val="WenQuanYi Zen Hei"/>
        <family val="2"/>
      </rPr>
      <t xml:space="preserve">検索</t>
    </r>
    <r>
      <rPr>
        <b val="true"/>
        <sz val="10"/>
        <color rgb="FF000000"/>
        <rFont val="Meiryo"/>
        <family val="0"/>
        <charset val="1"/>
      </rPr>
      <t xml:space="preserve">vol</t>
    </r>
  </si>
  <si>
    <t xml:space="preserve">CPC</t>
  </si>
  <si>
    <t xml:space="preserve">競合性</t>
  </si>
  <si>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位</t>
    </r>
    <r>
      <rPr>
        <b val="true"/>
        <sz val="10"/>
        <color rgb="FF000000"/>
        <rFont val="Meiryo"/>
        <family val="0"/>
        <charset val="1"/>
      </rPr>
      <t xml:space="preserve">DA</t>
    </r>
  </si>
  <si>
    <r>
      <rPr>
        <b val="true"/>
        <sz val="10"/>
        <color rgb="FF000000"/>
        <rFont val="Meiryo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位</t>
    </r>
    <r>
      <rPr>
        <b val="true"/>
        <sz val="10"/>
        <color rgb="FF000000"/>
        <rFont val="Meiryo"/>
        <family val="0"/>
        <charset val="1"/>
      </rPr>
      <t xml:space="preserve">DA</t>
    </r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</si>
  <si>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位</t>
    </r>
    <r>
      <rPr>
        <b val="true"/>
        <sz val="10"/>
        <color rgb="FF000000"/>
        <rFont val="Meiryo"/>
        <family val="0"/>
        <charset val="1"/>
      </rPr>
      <t xml:space="preserve">DA</t>
    </r>
  </si>
  <si>
    <r>
      <rPr>
        <b val="true"/>
        <sz val="10"/>
        <color rgb="FF000000"/>
        <rFont val="Meiryo"/>
        <family val="0"/>
        <charset val="1"/>
      </rPr>
      <t xml:space="preserve">4</t>
    </r>
    <r>
      <rPr>
        <b val="true"/>
        <sz val="10"/>
        <color rgb="FF000000"/>
        <rFont val="WenQuanYi Zen Hei"/>
        <family val="2"/>
      </rPr>
      <t xml:space="preserve">位</t>
    </r>
    <r>
      <rPr>
        <b val="true"/>
        <sz val="10"/>
        <color rgb="FF000000"/>
        <rFont val="Meiryo"/>
        <family val="0"/>
        <charset val="1"/>
      </rPr>
      <t xml:space="preserve">DA</t>
    </r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</si>
  <si>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位</t>
    </r>
    <r>
      <rPr>
        <b val="true"/>
        <sz val="10"/>
        <color rgb="FF000000"/>
        <rFont val="Meiryo"/>
        <family val="0"/>
        <charset val="1"/>
      </rPr>
      <t xml:space="preserve">DA</t>
    </r>
  </si>
  <si>
    <r>
      <rPr>
        <b val="true"/>
        <sz val="10"/>
        <color rgb="FF000000"/>
        <rFont val="Meiryo"/>
        <family val="0"/>
        <charset val="1"/>
      </rPr>
      <t xml:space="preserve">6</t>
    </r>
    <r>
      <rPr>
        <b val="true"/>
        <sz val="10"/>
        <color rgb="FF000000"/>
        <rFont val="WenQuanYi Zen Hei"/>
        <family val="2"/>
      </rPr>
      <t xml:space="preserve">位</t>
    </r>
    <r>
      <rPr>
        <b val="true"/>
        <sz val="10"/>
        <color rgb="FF000000"/>
        <rFont val="Meiryo"/>
        <family val="0"/>
        <charset val="1"/>
      </rPr>
      <t xml:space="preserve">DA</t>
    </r>
  </si>
  <si>
    <r>
      <rPr>
        <b val="true"/>
        <sz val="10"/>
        <color rgb="FF000000"/>
        <rFont val="Meiryo"/>
        <family val="0"/>
        <charset val="1"/>
      </rPr>
      <t xml:space="preserve">7</t>
    </r>
    <r>
      <rPr>
        <b val="true"/>
        <sz val="10"/>
        <color rgb="FF000000"/>
        <rFont val="WenQuanYi Zen Hei"/>
        <family val="2"/>
      </rPr>
      <t xml:space="preserve">位</t>
    </r>
    <r>
      <rPr>
        <b val="true"/>
        <sz val="10"/>
        <color rgb="FF000000"/>
        <rFont val="Meiryo"/>
        <family val="0"/>
        <charset val="1"/>
      </rPr>
      <t xml:space="preserve">DA</t>
    </r>
  </si>
  <si>
    <r>
      <rPr>
        <b val="true"/>
        <sz val="10"/>
        <color rgb="FF000000"/>
        <rFont val="Meiryo"/>
        <family val="0"/>
        <charset val="1"/>
      </rPr>
      <t xml:space="preserve">8</t>
    </r>
    <r>
      <rPr>
        <b val="true"/>
        <sz val="10"/>
        <color rgb="FF000000"/>
        <rFont val="WenQuanYi Zen Hei"/>
        <family val="2"/>
      </rPr>
      <t xml:space="preserve">位</t>
    </r>
    <r>
      <rPr>
        <b val="true"/>
        <sz val="10"/>
        <color rgb="FF000000"/>
        <rFont val="Meiryo"/>
        <family val="0"/>
        <charset val="1"/>
      </rPr>
      <t xml:space="preserve">DA</t>
    </r>
  </si>
  <si>
    <r>
      <rPr>
        <b val="true"/>
        <sz val="10"/>
        <color rgb="FF000000"/>
        <rFont val="Meiryo"/>
        <family val="0"/>
        <charset val="1"/>
      </rPr>
      <t xml:space="preserve">9</t>
    </r>
    <r>
      <rPr>
        <b val="true"/>
        <sz val="10"/>
        <color rgb="FF000000"/>
        <rFont val="WenQuanYi Zen Hei"/>
        <family val="2"/>
      </rPr>
      <t xml:space="preserve">位</t>
    </r>
    <r>
      <rPr>
        <b val="true"/>
        <sz val="10"/>
        <color rgb="FF000000"/>
        <rFont val="Meiryo"/>
        <family val="0"/>
        <charset val="1"/>
      </rPr>
      <t xml:space="preserve">DA</t>
    </r>
  </si>
  <si>
    <r>
      <rPr>
        <b val="true"/>
        <sz val="10"/>
        <color rgb="FF000000"/>
        <rFont val="Meiryo"/>
        <family val="0"/>
        <charset val="1"/>
      </rPr>
      <t xml:space="preserve">10</t>
    </r>
    <r>
      <rPr>
        <b val="true"/>
        <sz val="10"/>
        <color rgb="FF000000"/>
        <rFont val="WenQuanYi Zen Hei"/>
        <family val="2"/>
      </rPr>
      <t xml:space="preserve">位</t>
    </r>
    <r>
      <rPr>
        <b val="true"/>
        <sz val="10"/>
        <color rgb="FF000000"/>
        <rFont val="Meiryo"/>
        <family val="0"/>
        <charset val="1"/>
      </rPr>
      <t xml:space="preserve">DA</t>
    </r>
  </si>
  <si>
    <r>
      <rPr>
        <b val="true"/>
        <sz val="10"/>
        <color rgb="FF000000"/>
        <rFont val="Meiryo"/>
        <family val="0"/>
        <charset val="1"/>
      </rPr>
      <t xml:space="preserve">DA</t>
    </r>
    <r>
      <rPr>
        <b val="true"/>
        <sz val="10"/>
        <color rgb="FF000000"/>
        <rFont val="WenQuanYi Zen Hei"/>
        <family val="2"/>
      </rPr>
      <t xml:space="preserve">平均</t>
    </r>
  </si>
  <si>
    <r>
      <rPr>
        <b val="true"/>
        <sz val="10"/>
        <color rgb="FF000000"/>
        <rFont val="WenQuanYi Zen Hei"/>
        <family val="2"/>
      </rPr>
      <t xml:space="preserve">個人ブログ数（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ページ目）</t>
    </r>
  </si>
  <si>
    <t xml:space="preserve">バーティカル検索</t>
  </si>
  <si>
    <t xml:space="preserve">クエリ判定</t>
  </si>
  <si>
    <t xml:space="preserve">商品が解決策になるか</t>
  </si>
  <si>
    <t xml:space="preserve">役割</t>
  </si>
  <si>
    <r>
      <rPr>
        <b val="true"/>
        <sz val="10"/>
        <color rgb="FF000000"/>
        <rFont val="WenQuanYi Zen Hei"/>
        <family val="2"/>
      </rPr>
      <t xml:space="preserve">グループ（代表</t>
    </r>
    <r>
      <rPr>
        <b val="true"/>
        <sz val="10"/>
        <color rgb="FF000000"/>
        <rFont val="Meiryo"/>
        <family val="0"/>
        <charset val="1"/>
      </rPr>
      <t xml:space="preserve">KW</t>
    </r>
    <r>
      <rPr>
        <b val="true"/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</si>
  <si>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WenQuanYi Zen Hei"/>
        <family val="2"/>
      </rPr>
      <t xml:space="preserve">メモ（</t>
    </r>
    <r>
      <rPr>
        <b val="true"/>
        <sz val="10"/>
        <color rgb="FF000000"/>
        <rFont val="Meiryo"/>
        <family val="0"/>
        <charset val="1"/>
      </rPr>
      <t xml:space="preserve">DA1</t>
    </r>
    <r>
      <rPr>
        <b val="true"/>
        <sz val="10"/>
        <color rgb="FF000000"/>
        <rFont val="WenQuanYi Zen Hei"/>
        <family val="2"/>
      </rPr>
      <t xml:space="preserve">桁で上位の記事の理由など）</t>
    </r>
  </si>
  <si>
    <r>
      <rPr>
        <sz val="10"/>
        <color rgb="FF0000FF"/>
        <rFont val="WenQuanYi Zen Hei"/>
        <family val="2"/>
      </rPr>
      <t xml:space="preserve">（例）〇〇</t>
    </r>
    <r>
      <rPr>
        <sz val="10"/>
        <color rgb="FF0000FF"/>
        <rFont val="Meiryo"/>
        <family val="0"/>
        <charset val="1"/>
      </rPr>
      <t xml:space="preserve">GPS </t>
    </r>
    <r>
      <rPr>
        <sz val="10"/>
        <color rgb="FF0000FF"/>
        <rFont val="WenQuanYi Zen Hei"/>
        <family val="2"/>
      </rPr>
      <t xml:space="preserve">口コミ</t>
    </r>
  </si>
  <si>
    <t xml:space="preserve">高</t>
  </si>
  <si>
    <t xml:space="preserve">ショッピング</t>
  </si>
  <si>
    <t xml:space="preserve">Buy</t>
  </si>
  <si>
    <t xml:space="preserve">Yes</t>
  </si>
  <si>
    <t xml:space="preserve">成約</t>
  </si>
  <si>
    <r>
      <rPr>
        <sz val="10"/>
        <color rgb="FF0000FF"/>
        <rFont val="WenQuanYi Zen Hei"/>
        <family val="2"/>
      </rPr>
      <t xml:space="preserve">〇〇</t>
    </r>
    <r>
      <rPr>
        <sz val="10"/>
        <color rgb="FF0000FF"/>
        <rFont val="Meiryo"/>
        <family val="0"/>
        <charset val="1"/>
      </rPr>
      <t xml:space="preserve">GPS </t>
    </r>
    <r>
      <rPr>
        <sz val="10"/>
        <color rgb="FF0000FF"/>
        <rFont val="WenQuanYi Zen Hei"/>
        <family val="2"/>
      </rPr>
      <t xml:space="preserve">口コミ</t>
    </r>
  </si>
  <si>
    <r>
      <rPr>
        <sz val="10"/>
        <color rgb="FF0000FF"/>
        <rFont val="Meiryo"/>
        <family val="0"/>
        <charset val="1"/>
      </rPr>
      <t xml:space="preserve">9</t>
    </r>
    <r>
      <rPr>
        <sz val="10"/>
        <color rgb="FF0000FF"/>
        <rFont val="WenQuanYi Zen Hei"/>
        <family val="2"/>
      </rPr>
      <t xml:space="preserve">位は</t>
    </r>
    <r>
      <rPr>
        <sz val="10"/>
        <color rgb="FF0000FF"/>
        <rFont val="Meiryo"/>
        <family val="0"/>
        <charset val="1"/>
      </rPr>
      <t xml:space="preserve">DA9</t>
    </r>
    <r>
      <rPr>
        <sz val="10"/>
        <color rgb="FF0000FF"/>
        <rFont val="WenQuanYi Zen Hei"/>
        <family val="2"/>
      </rPr>
      <t xml:space="preserve">の個人ブログ。実機写真が多い</t>
    </r>
  </si>
  <si>
    <r>
      <rPr>
        <sz val="10"/>
        <color rgb="FF0000FF"/>
        <rFont val="WenQuanYi Zen Hei"/>
        <family val="2"/>
      </rPr>
      <t xml:space="preserve">（例）〇〇</t>
    </r>
    <r>
      <rPr>
        <sz val="10"/>
        <color rgb="FF0000FF"/>
        <rFont val="Meiryo"/>
        <family val="0"/>
        <charset val="1"/>
      </rPr>
      <t xml:space="preserve">GPS </t>
    </r>
    <r>
      <rPr>
        <sz val="10"/>
        <color rgb="FF0000FF"/>
        <rFont val="WenQuanYi Zen Hei"/>
        <family val="2"/>
      </rPr>
      <t xml:space="preserve">評判</t>
    </r>
  </si>
  <si>
    <t xml:space="preserve">中</t>
  </si>
  <si>
    <t xml:space="preserve">すべて</t>
  </si>
  <si>
    <t xml:space="preserve">Know</t>
  </si>
  <si>
    <t xml:space="preserve">口コミと同グループ</t>
  </si>
  <si>
    <r>
      <rPr>
        <sz val="10"/>
        <color rgb="FF0000FF"/>
        <rFont val="WenQuanYi Zen Hei"/>
        <family val="2"/>
      </rPr>
      <t xml:space="preserve">（例）小学生 </t>
    </r>
    <r>
      <rPr>
        <sz val="10"/>
        <color rgb="FF0000FF"/>
        <rFont val="Meiryo"/>
        <family val="0"/>
        <charset val="1"/>
      </rPr>
      <t xml:space="preserve">GPS </t>
    </r>
    <r>
      <rPr>
        <sz val="10"/>
        <color rgb="FF0000FF"/>
        <rFont val="WenQuanYi Zen Hei"/>
        <family val="2"/>
      </rPr>
      <t xml:space="preserve">いつから</t>
    </r>
  </si>
  <si>
    <t xml:space="preserve">低</t>
  </si>
  <si>
    <t xml:space="preserve">ニュース</t>
  </si>
  <si>
    <t xml:space="preserve">集客</t>
  </si>
  <si>
    <r>
      <rPr>
        <sz val="10"/>
        <color rgb="FF0000FF"/>
        <rFont val="WenQuanYi Zen Hei"/>
        <family val="2"/>
      </rPr>
      <t xml:space="preserve">小学生 </t>
    </r>
    <r>
      <rPr>
        <sz val="10"/>
        <color rgb="FF0000FF"/>
        <rFont val="Meiryo"/>
        <family val="0"/>
        <charset val="1"/>
      </rPr>
      <t xml:space="preserve">GPS </t>
    </r>
    <r>
      <rPr>
        <sz val="10"/>
        <color rgb="FF0000FF"/>
        <rFont val="WenQuanYi Zen Hei"/>
        <family val="2"/>
      </rPr>
      <t xml:space="preserve">いつから</t>
    </r>
  </si>
  <si>
    <r>
      <rPr>
        <sz val="10"/>
        <color rgb="FF0000FF"/>
        <rFont val="WenQuanYi Zen Hei"/>
        <family val="2"/>
      </rPr>
      <t xml:space="preserve">悩み</t>
    </r>
    <r>
      <rPr>
        <sz val="10"/>
        <color rgb="FF0000FF"/>
        <rFont val="Meiryo"/>
        <family val="0"/>
        <charset val="1"/>
      </rPr>
      <t xml:space="preserve">KW</t>
    </r>
    <r>
      <rPr>
        <sz val="10"/>
        <color rgb="FF0000FF"/>
        <rFont val="WenQuanYi Zen Hei"/>
        <family val="2"/>
      </rPr>
      <t xml:space="preserve">。主力を解決策として置ける</t>
    </r>
  </si>
  <si>
    <r>
      <rPr>
        <b val="true"/>
        <sz val="12"/>
        <color rgb="FF000000"/>
        <rFont val="WenQuanYi Zen Hei"/>
        <family val="2"/>
      </rPr>
      <t xml:space="preserve">記事一覧（ステップ</t>
    </r>
    <r>
      <rPr>
        <b val="true"/>
        <sz val="12"/>
        <color rgb="FF000000"/>
        <rFont val="Meiryo"/>
        <family val="0"/>
        <charset val="1"/>
      </rPr>
      <t xml:space="preserve">2</t>
    </r>
    <r>
      <rPr>
        <b val="true"/>
        <sz val="12"/>
        <color rgb="FF000000"/>
        <rFont val="WenQuanYi Zen Hei"/>
        <family val="2"/>
      </rPr>
      <t xml:space="preserve">で作り、ステップ</t>
    </r>
    <r>
      <rPr>
        <b val="true"/>
        <sz val="12"/>
        <color rgb="FF000000"/>
        <rFont val="Meiryo"/>
        <family val="0"/>
        <charset val="1"/>
      </rPr>
      <t xml:space="preserve">5</t>
    </r>
    <r>
      <rPr>
        <b val="true"/>
        <sz val="12"/>
        <color rgb="FF000000"/>
        <rFont val="WenQuanYi Zen Hei"/>
        <family val="2"/>
      </rPr>
      <t xml:space="preserve">で毎月</t>
    </r>
    <r>
      <rPr>
        <b val="true"/>
        <sz val="12"/>
        <color rgb="FF000000"/>
        <rFont val="Meiryo"/>
        <family val="0"/>
        <charset val="1"/>
      </rPr>
      <t xml:space="preserve">1</t>
    </r>
    <r>
      <rPr>
        <b val="true"/>
        <sz val="12"/>
        <color rgb="FF000000"/>
        <rFont val="WenQuanYi Zen Hei"/>
        <family val="2"/>
      </rPr>
      <t xml:space="preserve">日に更新）　</t>
    </r>
    <r>
      <rPr>
        <b val="true"/>
        <sz val="12"/>
        <color rgb="FF000000"/>
        <rFont val="Meiryo"/>
        <family val="0"/>
        <charset val="1"/>
      </rPr>
      <t xml:space="preserve">1</t>
    </r>
    <r>
      <rPr>
        <b val="true"/>
        <sz val="12"/>
        <color rgb="FF000000"/>
        <rFont val="WenQuanYi Zen Hei"/>
        <family val="2"/>
      </rPr>
      <t xml:space="preserve">グループ＝</t>
    </r>
    <r>
      <rPr>
        <b val="true"/>
        <sz val="12"/>
        <color rgb="FF000000"/>
        <rFont val="Meiryo"/>
        <family val="0"/>
        <charset val="1"/>
      </rPr>
      <t xml:space="preserve">1</t>
    </r>
    <r>
      <rPr>
        <b val="true"/>
        <sz val="12"/>
        <color rgb="FF000000"/>
        <rFont val="WenQuanYi Zen Hei"/>
        <family val="2"/>
      </rPr>
      <t xml:space="preserve">記事。成約</t>
    </r>
    <r>
      <rPr>
        <b val="true"/>
        <sz val="12"/>
        <color rgb="FF000000"/>
        <rFont val="Meiryo"/>
        <family val="0"/>
        <charset val="1"/>
      </rPr>
      <t xml:space="preserve">KW</t>
    </r>
    <r>
      <rPr>
        <b val="true"/>
        <sz val="12"/>
        <color rgb="FF000000"/>
        <rFont val="WenQuanYi Zen Hei"/>
        <family val="2"/>
      </rPr>
      <t xml:space="preserve">から先に書く。月に直すのは</t>
    </r>
    <r>
      <rPr>
        <b val="true"/>
        <sz val="12"/>
        <color rgb="FF000000"/>
        <rFont val="Meiryo"/>
        <family val="0"/>
        <charset val="1"/>
      </rPr>
      <t xml:space="preserve">3</t>
    </r>
    <r>
      <rPr>
        <b val="true"/>
        <sz val="12"/>
        <color rgb="FF000000"/>
        <rFont val="WenQuanYi Zen Hei"/>
        <family val="2"/>
      </rPr>
      <t xml:space="preserve">〜</t>
    </r>
    <r>
      <rPr>
        <b val="true"/>
        <sz val="12"/>
        <color rgb="FF000000"/>
        <rFont val="Meiryo"/>
        <family val="0"/>
        <charset val="1"/>
      </rPr>
      <t xml:space="preserve">5</t>
    </r>
    <r>
      <rPr>
        <b val="true"/>
        <sz val="12"/>
        <color rgb="FF000000"/>
        <rFont val="WenQuanYi Zen Hei"/>
        <family val="2"/>
      </rPr>
      <t xml:space="preserve">本まで</t>
    </r>
  </si>
  <si>
    <r>
      <rPr>
        <b val="true"/>
        <sz val="10"/>
        <color rgb="FF000000"/>
        <rFont val="WenQuanYi Zen Hei"/>
        <family val="2"/>
      </rPr>
      <t xml:space="preserve">記事</t>
    </r>
    <r>
      <rPr>
        <b val="true"/>
        <sz val="10"/>
        <color rgb="FF000000"/>
        <rFont val="Meiryo"/>
        <family val="0"/>
        <charset val="1"/>
      </rPr>
      <t xml:space="preserve">No</t>
    </r>
  </si>
  <si>
    <r>
      <rPr>
        <b val="true"/>
        <sz val="10"/>
        <color rgb="FF000000"/>
        <rFont val="WenQuanYi Zen Hei"/>
        <family val="2"/>
      </rPr>
      <t xml:space="preserve">代表</t>
    </r>
    <r>
      <rPr>
        <b val="true"/>
        <sz val="10"/>
        <color rgb="FF000000"/>
        <rFont val="Meiryo"/>
        <family val="0"/>
        <charset val="1"/>
      </rPr>
      <t xml:space="preserve">KW</t>
    </r>
  </si>
  <si>
    <r>
      <rPr>
        <b val="true"/>
        <sz val="10"/>
        <color rgb="FF000000"/>
        <rFont val="WenQuanYi Zen Hei"/>
        <family val="2"/>
      </rPr>
      <t xml:space="preserve">グループ内</t>
    </r>
    <r>
      <rPr>
        <b val="true"/>
        <sz val="10"/>
        <color rgb="FF000000"/>
        <rFont val="Meiryo"/>
        <family val="0"/>
        <charset val="1"/>
      </rPr>
      <t xml:space="preserve">KW</t>
    </r>
  </si>
  <si>
    <t xml:space="preserve">記事タイプ</t>
  </si>
  <si>
    <r>
      <rPr>
        <b val="true"/>
        <sz val="10"/>
        <color rgb="FF000000"/>
        <rFont val="WenQuanYi Zen Hei"/>
        <family val="2"/>
      </rPr>
      <t xml:space="preserve">流す先（記事</t>
    </r>
    <r>
      <rPr>
        <b val="true"/>
        <sz val="10"/>
        <color rgb="FF000000"/>
        <rFont val="Meiryo"/>
        <family val="0"/>
        <charset val="1"/>
      </rPr>
      <t xml:space="preserve">No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</si>
  <si>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優先順位</t>
  </si>
  <si>
    <t xml:space="preserve">状態</t>
  </si>
  <si>
    <t xml:space="preserve">公開日</t>
  </si>
  <si>
    <t xml:space="preserve">URL</t>
  </si>
  <si>
    <r>
      <rPr>
        <b val="true"/>
        <sz val="10"/>
        <color rgb="FF000000"/>
        <rFont val="WenQuanYi Zen Hei"/>
        <family val="2"/>
      </rPr>
      <t xml:space="preserve">順位（狙った</t>
    </r>
    <r>
      <rPr>
        <b val="true"/>
        <sz val="10"/>
        <color rgb="FF000000"/>
        <rFont val="Meiryo"/>
        <family val="0"/>
        <charset val="1"/>
      </rPr>
      <t xml:space="preserve">KW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</si>
  <si>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表示回数</t>
  </si>
  <si>
    <t xml:space="preserve">クリック数</t>
  </si>
  <si>
    <t xml:space="preserve">CTR</t>
  </si>
  <si>
    <t xml:space="preserve">案件ページクリック</t>
  </si>
  <si>
    <t xml:space="preserve">発生件数</t>
  </si>
  <si>
    <t xml:space="preserve">確定件数</t>
  </si>
  <si>
    <t xml:space="preserve">確定報酬（円）</t>
  </si>
  <si>
    <t xml:space="preserve">詰まっている場所</t>
  </si>
  <si>
    <t xml:space="preserve">次の打ち手</t>
  </si>
  <si>
    <t xml:space="preserve">最終リライト日</t>
  </si>
  <si>
    <t xml:space="preserve">変更点</t>
  </si>
  <si>
    <t xml:space="preserve">初稿生存率</t>
  </si>
  <si>
    <r>
      <rPr>
        <b val="true"/>
        <sz val="10"/>
        <color rgb="FF000000"/>
        <rFont val="Meiryo"/>
        <family val="0"/>
        <charset val="1"/>
      </rPr>
      <t xml:space="preserve">Level2</t>
    </r>
    <r>
      <rPr>
        <b val="true"/>
        <sz val="10"/>
        <color rgb="FF000000"/>
        <rFont val="WenQuanYi Zen Hei"/>
        <family val="2"/>
      </rPr>
      <t xml:space="preserve">追記日</t>
    </r>
  </si>
  <si>
    <r>
      <rPr>
        <sz val="10"/>
        <color rgb="FF0000FF"/>
        <rFont val="WenQuanYi Zen Hei"/>
        <family val="2"/>
      </rPr>
      <t xml:space="preserve">〇〇</t>
    </r>
    <r>
      <rPr>
        <sz val="10"/>
        <color rgb="FF0000FF"/>
        <rFont val="Meiryo"/>
        <family val="0"/>
        <charset val="1"/>
      </rPr>
      <t xml:space="preserve">GPS </t>
    </r>
    <r>
      <rPr>
        <sz val="10"/>
        <color rgb="FF0000FF"/>
        <rFont val="WenQuanYi Zen Hei"/>
        <family val="2"/>
      </rPr>
      <t xml:space="preserve">評判／レビュー</t>
    </r>
  </si>
  <si>
    <t xml:space="preserve">体験記</t>
  </si>
  <si>
    <t xml:space="preserve">公開済み</t>
  </si>
  <si>
    <t xml:space="preserve">2026-10-05</t>
  </si>
  <si>
    <t xml:space="preserve">https://example.com/gps-review</t>
  </si>
  <si>
    <r>
      <rPr>
        <sz val="10"/>
        <color rgb="FF0000FF"/>
        <rFont val="WenQuanYi Zen Hei"/>
        <family val="2"/>
      </rPr>
      <t xml:space="preserve">順位</t>
    </r>
    <r>
      <rPr>
        <sz val="10"/>
        <color rgb="FF0000FF"/>
        <rFont val="Meiryo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〜</t>
    </r>
    <r>
      <rPr>
        <sz val="10"/>
        <color rgb="FF0000FF"/>
        <rFont val="Meiryo"/>
        <family val="0"/>
        <charset val="1"/>
      </rPr>
      <t xml:space="preserve">20</t>
    </r>
    <r>
      <rPr>
        <sz val="10"/>
        <color rgb="FF0000FF"/>
        <rFont val="WenQuanYi Zen Hei"/>
        <family val="2"/>
      </rPr>
      <t xml:space="preserve">位</t>
    </r>
  </si>
  <si>
    <r>
      <rPr>
        <sz val="10"/>
        <color rgb="FF0000FF"/>
        <rFont val="WenQuanYi Zen Hei"/>
        <family val="2"/>
      </rPr>
      <t xml:space="preserve">構成見直し：最初の</t>
    </r>
    <r>
      <rPr>
        <sz val="10"/>
        <color rgb="FF0000FF"/>
        <rFont val="Meiryo"/>
        <family val="0"/>
        <charset val="1"/>
      </rPr>
      <t xml:space="preserve">H2</t>
    </r>
    <r>
      <rPr>
        <sz val="10"/>
        <color rgb="FF0000FF"/>
        <rFont val="WenQuanYi Zen Hei"/>
        <family val="2"/>
      </rPr>
      <t xml:space="preserve">を</t>
    </r>
    <r>
      <rPr>
        <sz val="10"/>
        <color rgb="FF0000FF"/>
        <rFont val="Meiryo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か月の実測結果に</t>
    </r>
  </si>
  <si>
    <t xml:space="preserve">2026-12-01</t>
  </si>
  <si>
    <t xml:space="preserve">2026-10-19</t>
  </si>
  <si>
    <r>
      <rPr>
        <sz val="10"/>
        <color rgb="FF0000FF"/>
        <rFont val="Meiryo"/>
        <family val="0"/>
        <charset val="1"/>
      </rPr>
      <t xml:space="preserve">GPS </t>
    </r>
    <r>
      <rPr>
        <sz val="10"/>
        <color rgb="FF0000FF"/>
        <rFont val="WenQuanYi Zen Hei"/>
        <family val="2"/>
      </rPr>
      <t xml:space="preserve">何歳から</t>
    </r>
  </si>
  <si>
    <t xml:space="preserve">悩み解決</t>
  </si>
  <si>
    <t xml:space="preserve">執筆中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</si>
</sst>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\円"/>
    <numFmt numFmtId="166" formatCode="#,##0"/>
    <numFmt numFmtId="167" formatCode="0%"/>
    <numFmt numFmtId="168" formatCode="0&quot;時間&quot;"/>
    <numFmt numFmtId="169" formatCode="0\本"/>
    <numFmt numFmtId="170" formatCode="#,##0;[RED]\-#,##0"/>
    <numFmt numFmtId="171" formatCode="0.0%"/>
    <numFmt numFmtId="172" formatCode="0.0"/>
    <numFmt numFmtId="173" formatCode="0"/>
    <numFmt numFmtId="174" formatCode="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Meiryo"/>
      <family val="0"/>
      <charset val="1"/>
    </font>
    <font>
      <b val="true"/>
      <sz val="10"/>
      <color rgb="FF000000"/>
      <name val="WenQuanYi Zen Hei"/>
      <family val="2"/>
    </font>
    <font>
      <sz val="10"/>
      <color rgb="FF0000FF"/>
      <name val="WenQuanYi Zen Hei"/>
      <family val="2"/>
    </font>
    <font>
      <sz val="10"/>
      <color rgb="FF0000FF"/>
      <name val="Meiryo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Meiryo"/>
      <family val="0"/>
      <charset val="1"/>
    </font>
    <font>
      <b val="true"/>
      <sz val="10"/>
      <color rgb="FF000000"/>
      <name val="Meiryo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b val="true"/>
      <sz val="14"/>
      <color rgb="FF000000"/>
      <name val="WenQuanYi Zen Hei"/>
      <family val="2"/>
    </font>
    <font>
      <b val="true"/>
      <sz val="14"/>
      <color rgb="FF000000"/>
      <name val="Meiryo"/>
      <family val="0"/>
      <charset val="1"/>
    </font>
    <font>
      <sz val="10"/>
      <color rgb="FF008000"/>
      <name val="Meiryo"/>
      <family val="0"/>
      <charset val="1"/>
    </font>
    <font>
      <b val="true"/>
      <sz val="12"/>
      <color rgb="FF000000"/>
      <name val="WenQuanYi Zen Hei"/>
      <family val="2"/>
    </font>
    <font>
      <b val="true"/>
      <sz val="12"/>
      <color rgb="FF000000"/>
      <name val="Meiryo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90"/>
  </cols>
  <sheetData>
    <row r="1" customFormat="false" ht="19.7" hidden="false" customHeight="false" outlineLevel="0" collapsed="false">
      <c r="B1" s="1" t="s">
        <v>0</v>
      </c>
    </row>
    <row r="2" customFormat="false" ht="31.5" hidden="false" customHeight="true" outlineLevel="0" collapsed="false">
      <c r="B2" s="2" t="s">
        <v>1</v>
      </c>
      <c r="C2" s="2"/>
    </row>
    <row r="4" customFormat="false" ht="15" hidden="false" customHeight="false" outlineLevel="0" collapsed="false">
      <c r="B4" s="3" t="s">
        <v>2</v>
      </c>
      <c r="C4" s="4"/>
    </row>
    <row r="5" customFormat="false" ht="15" hidden="false" customHeight="false" outlineLevel="0" collapsed="false">
      <c r="B5" s="5" t="s">
        <v>3</v>
      </c>
      <c r="C5" s="6" t="s">
        <v>4</v>
      </c>
    </row>
    <row r="6" customFormat="false" ht="15" hidden="false" customHeight="false" outlineLevel="0" collapsed="false">
      <c r="B6" s="7" t="s">
        <v>5</v>
      </c>
      <c r="C6" s="6" t="s">
        <v>6</v>
      </c>
    </row>
    <row r="7" customFormat="false" ht="15" hidden="false" customHeight="false" outlineLevel="0" collapsed="false">
      <c r="B7" s="8" t="s">
        <v>7</v>
      </c>
      <c r="C7" s="6" t="s">
        <v>8</v>
      </c>
    </row>
    <row r="8" customFormat="false" ht="15" hidden="false" customHeight="false" outlineLevel="0" collapsed="false">
      <c r="B8" s="8" t="s">
        <v>9</v>
      </c>
      <c r="C8" s="6" t="s">
        <v>10</v>
      </c>
    </row>
    <row r="9" customFormat="false" ht="15" hidden="false" customHeight="false" outlineLevel="0" collapsed="false">
      <c r="B9" s="3"/>
      <c r="C9" s="6"/>
    </row>
    <row r="10" customFormat="false" ht="15" hidden="false" customHeight="false" outlineLevel="0" collapsed="false">
      <c r="B10" s="3" t="s">
        <v>11</v>
      </c>
      <c r="C10" s="6"/>
    </row>
    <row r="11" customFormat="false" ht="15" hidden="false" customHeight="false" outlineLevel="0" collapsed="false">
      <c r="B11" s="8" t="s">
        <v>12</v>
      </c>
      <c r="C11" s="4" t="s">
        <v>13</v>
      </c>
    </row>
    <row r="12" customFormat="false" ht="15" hidden="false" customHeight="false" outlineLevel="0" collapsed="false">
      <c r="B12" s="8" t="s">
        <v>14</v>
      </c>
      <c r="C12" s="6" t="s">
        <v>15</v>
      </c>
    </row>
    <row r="13" customFormat="false" ht="15" hidden="false" customHeight="false" outlineLevel="0" collapsed="false">
      <c r="B13" s="8" t="s">
        <v>16</v>
      </c>
      <c r="C13" s="6" t="s">
        <v>17</v>
      </c>
    </row>
    <row r="14" customFormat="false" ht="15" hidden="false" customHeight="false" outlineLevel="0" collapsed="false">
      <c r="B14" s="9" t="s">
        <v>18</v>
      </c>
      <c r="C14" s="6" t="s">
        <v>19</v>
      </c>
    </row>
    <row r="15" customFormat="false" ht="15" hidden="false" customHeight="false" outlineLevel="0" collapsed="false">
      <c r="B15" s="8" t="s">
        <v>20</v>
      </c>
      <c r="C15" s="6" t="s">
        <v>21</v>
      </c>
    </row>
    <row r="16" customFormat="false" ht="15" hidden="false" customHeight="false" outlineLevel="0" collapsed="false">
      <c r="B16" s="3"/>
      <c r="C16" s="6"/>
    </row>
    <row r="17" customFormat="false" ht="15" hidden="false" customHeight="false" outlineLevel="0" collapsed="false">
      <c r="B17" s="3" t="s">
        <v>22</v>
      </c>
      <c r="C17" s="6"/>
    </row>
    <row r="18" customFormat="false" ht="15" hidden="false" customHeight="false" outlineLevel="0" collapsed="false">
      <c r="B18" s="9" t="s">
        <v>23</v>
      </c>
      <c r="C18" s="6" t="s">
        <v>24</v>
      </c>
    </row>
    <row r="19" customFormat="false" ht="15" hidden="false" customHeight="false" outlineLevel="0" collapsed="false">
      <c r="B19" s="9" t="s">
        <v>25</v>
      </c>
      <c r="C19" s="6" t="s">
        <v>26</v>
      </c>
    </row>
    <row r="20" customFormat="false" ht="15" hidden="false" customHeight="false" outlineLevel="0" collapsed="false">
      <c r="B20" s="9" t="s">
        <v>27</v>
      </c>
      <c r="C20" s="6" t="s">
        <v>28</v>
      </c>
    </row>
    <row r="21" customFormat="false" ht="15" hidden="false" customHeight="false" outlineLevel="0" collapsed="false">
      <c r="B21" s="9" t="s">
        <v>29</v>
      </c>
      <c r="C21" s="4" t="s">
        <v>30</v>
      </c>
    </row>
    <row r="22" customFormat="false" ht="15" hidden="false" customHeight="false" outlineLevel="0" collapsed="false">
      <c r="B22" s="9" t="s">
        <v>31</v>
      </c>
      <c r="C22" s="4" t="s">
        <v>32</v>
      </c>
    </row>
    <row r="23" customFormat="false" ht="15" hidden="false" customHeight="false" outlineLevel="0" collapsed="false">
      <c r="B23" s="9" t="s">
        <v>33</v>
      </c>
      <c r="C23" s="6" t="s">
        <v>34</v>
      </c>
    </row>
    <row r="24" customFormat="false" ht="15" hidden="false" customHeight="false" outlineLevel="0" collapsed="false">
      <c r="B24" s="3"/>
      <c r="C24" s="6"/>
    </row>
    <row r="25" customFormat="false" ht="48" hidden="false" customHeight="true" outlineLevel="0" collapsed="false">
      <c r="B25" s="8" t="s">
        <v>35</v>
      </c>
      <c r="C25" s="6" t="s">
        <v>36</v>
      </c>
    </row>
    <row r="26" customFormat="false" ht="15" hidden="false" customHeight="false" outlineLevel="0" collapsed="false">
      <c r="B26" s="8" t="s">
        <v>37</v>
      </c>
      <c r="C26" s="6" t="s">
        <v>38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6"/>
    <col collapsed="false" customWidth="true" hidden="false" outlineLevel="0" max="8" min="8" style="0" width="22"/>
  </cols>
  <sheetData>
    <row r="1" customFormat="false" ht="19.7" hidden="false" customHeight="false" outlineLevel="0" collapsed="false">
      <c r="A1" s="1" t="s">
        <v>39</v>
      </c>
    </row>
    <row r="2" customFormat="false" ht="15" hidden="false" customHeight="true" outlineLevel="0" collapsed="false">
      <c r="A2" s="10" t="s">
        <v>40</v>
      </c>
      <c r="B2" s="11" t="s">
        <v>41</v>
      </c>
      <c r="C2" s="11"/>
      <c r="D2" s="11"/>
      <c r="E2" s="10" t="s">
        <v>42</v>
      </c>
      <c r="F2" s="12" t="s">
        <v>43</v>
      </c>
    </row>
    <row r="3" customFormat="false" ht="15" hidden="false" customHeight="true" outlineLevel="0" collapsed="false">
      <c r="A3" s="10" t="s">
        <v>44</v>
      </c>
      <c r="B3" s="11" t="s">
        <v>45</v>
      </c>
      <c r="C3" s="11"/>
      <c r="D3" s="11"/>
      <c r="E3" s="10" t="s">
        <v>46</v>
      </c>
      <c r="F3" s="13"/>
    </row>
    <row r="5" customFormat="false" ht="19.5" hidden="false" customHeight="true" outlineLevel="0" collapsed="false">
      <c r="A5" s="14" t="s">
        <v>47</v>
      </c>
      <c r="B5" s="14"/>
      <c r="C5" s="14"/>
      <c r="D5" s="14"/>
      <c r="E5" s="14"/>
      <c r="F5" s="14"/>
      <c r="G5" s="14"/>
      <c r="H5" s="14"/>
    </row>
    <row r="6" customFormat="false" ht="15" hidden="false" customHeight="false" outlineLevel="0" collapsed="false">
      <c r="A6" s="10" t="s">
        <v>48</v>
      </c>
      <c r="B6" s="15" t="n">
        <v>50000</v>
      </c>
      <c r="C6" s="10" t="s">
        <v>49</v>
      </c>
      <c r="D6" s="12" t="s">
        <v>50</v>
      </c>
      <c r="E6" s="10" t="s">
        <v>51</v>
      </c>
      <c r="F6" s="11" t="s">
        <v>52</v>
      </c>
    </row>
    <row r="7" customFormat="false" ht="15" hidden="false" customHeight="true" outlineLevel="0" collapsed="false">
      <c r="A7" s="10" t="s">
        <v>53</v>
      </c>
      <c r="B7" s="16" t="s">
        <v>54</v>
      </c>
      <c r="C7" s="16"/>
      <c r="D7" s="16"/>
      <c r="E7" s="16"/>
      <c r="F7" s="16"/>
      <c r="G7" s="16"/>
      <c r="H7" s="16"/>
    </row>
    <row r="8" customFormat="false" ht="15" hidden="false" customHeight="false" outlineLevel="0" collapsed="false">
      <c r="B8" s="16"/>
      <c r="C8" s="16"/>
      <c r="D8" s="16"/>
      <c r="E8" s="16"/>
      <c r="F8" s="16"/>
      <c r="G8" s="16"/>
      <c r="H8" s="16"/>
    </row>
    <row r="9" customFormat="false" ht="15" hidden="false" customHeight="false" outlineLevel="0" collapsed="false">
      <c r="B9" s="16"/>
      <c r="C9" s="16"/>
      <c r="D9" s="16"/>
      <c r="E9" s="16"/>
      <c r="F9" s="16"/>
      <c r="G9" s="16"/>
      <c r="H9" s="16"/>
    </row>
    <row r="11" customFormat="false" ht="19.5" hidden="false" customHeight="true" outlineLevel="0" collapsed="false">
      <c r="A11" s="14" t="s">
        <v>55</v>
      </c>
      <c r="B11" s="14"/>
      <c r="C11" s="14"/>
      <c r="D11" s="14"/>
      <c r="E11" s="14"/>
      <c r="F11" s="14"/>
      <c r="G11" s="14"/>
      <c r="H11" s="14"/>
    </row>
    <row r="12" customFormat="false" ht="15" hidden="false" customHeight="true" outlineLevel="0" collapsed="false">
      <c r="A12" s="17" t="s">
        <v>56</v>
      </c>
      <c r="B12" s="17" t="s">
        <v>57</v>
      </c>
      <c r="C12" s="17"/>
      <c r="D12" s="17"/>
      <c r="E12" s="17"/>
      <c r="F12" s="17"/>
      <c r="G12" s="17"/>
      <c r="H12" s="17"/>
    </row>
    <row r="13" customFormat="false" ht="15" hidden="false" customHeight="true" outlineLevel="0" collapsed="false">
      <c r="A13" s="11" t="s">
        <v>58</v>
      </c>
      <c r="B13" s="16" t="s">
        <v>59</v>
      </c>
      <c r="C13" s="16"/>
      <c r="D13" s="16"/>
      <c r="E13" s="16"/>
      <c r="F13" s="16"/>
      <c r="G13" s="16"/>
      <c r="H13" s="16"/>
    </row>
    <row r="14" customFormat="false" ht="15" hidden="false" customHeight="false" outlineLevel="0" collapsed="false">
      <c r="A14" s="13"/>
      <c r="B14" s="16"/>
      <c r="C14" s="16"/>
      <c r="D14" s="16"/>
      <c r="E14" s="16"/>
      <c r="F14" s="16"/>
      <c r="G14" s="16"/>
      <c r="H14" s="16"/>
    </row>
    <row r="15" customFormat="false" ht="15" hidden="false" customHeight="false" outlineLevel="0" collapsed="false">
      <c r="A15" s="13"/>
      <c r="B15" s="16"/>
      <c r="C15" s="16"/>
      <c r="D15" s="16"/>
      <c r="E15" s="16"/>
      <c r="F15" s="16"/>
      <c r="G15" s="16"/>
      <c r="H15" s="16"/>
    </row>
    <row r="16" customFormat="false" ht="15" hidden="false" customHeight="false" outlineLevel="0" collapsed="false">
      <c r="A16" s="13"/>
      <c r="B16" s="16"/>
      <c r="C16" s="16"/>
      <c r="D16" s="16"/>
      <c r="E16" s="16"/>
      <c r="F16" s="16"/>
      <c r="G16" s="16"/>
      <c r="H16" s="16"/>
    </row>
    <row r="17" customFormat="false" ht="15" hidden="false" customHeight="true" outlineLevel="0" collapsed="false">
      <c r="A17" s="10" t="s">
        <v>60</v>
      </c>
      <c r="B17" s="11" t="s">
        <v>61</v>
      </c>
      <c r="C17" s="11"/>
      <c r="D17" s="11"/>
      <c r="E17" s="11"/>
      <c r="F17" s="11"/>
      <c r="G17" s="11"/>
      <c r="H17" s="11"/>
    </row>
    <row r="18" customFormat="false" ht="15" hidden="false" customHeight="true" outlineLevel="0" collapsed="false">
      <c r="A18" s="10" t="s">
        <v>62</v>
      </c>
      <c r="B18" s="11" t="s">
        <v>63</v>
      </c>
      <c r="C18" s="11"/>
      <c r="D18" s="11"/>
      <c r="E18" s="11"/>
      <c r="F18" s="11"/>
      <c r="G18" s="11"/>
      <c r="H18" s="11"/>
    </row>
    <row r="19" customFormat="false" ht="15" hidden="false" customHeight="true" outlineLevel="0" collapsed="false">
      <c r="A19" s="10" t="s">
        <v>64</v>
      </c>
      <c r="B19" s="16" t="s">
        <v>65</v>
      </c>
      <c r="C19" s="16"/>
      <c r="D19" s="16"/>
      <c r="E19" s="16"/>
      <c r="F19" s="16"/>
      <c r="G19" s="16"/>
      <c r="H19" s="16"/>
    </row>
    <row r="20" customFormat="false" ht="15" hidden="false" customHeight="false" outlineLevel="0" collapsed="false">
      <c r="B20" s="16"/>
      <c r="C20" s="16"/>
      <c r="D20" s="16"/>
      <c r="E20" s="16"/>
      <c r="F20" s="16"/>
      <c r="G20" s="16"/>
      <c r="H20" s="16"/>
    </row>
    <row r="21" customFormat="false" ht="15" hidden="false" customHeight="false" outlineLevel="0" collapsed="false">
      <c r="B21" s="16"/>
      <c r="C21" s="16"/>
      <c r="D21" s="16"/>
      <c r="E21" s="16"/>
      <c r="F21" s="16"/>
      <c r="G21" s="16"/>
      <c r="H21" s="16"/>
    </row>
    <row r="23" customFormat="false" ht="19.5" hidden="false" customHeight="true" outlineLevel="0" collapsed="false">
      <c r="A23" s="14" t="s">
        <v>66</v>
      </c>
      <c r="B23" s="14"/>
      <c r="C23" s="14"/>
      <c r="D23" s="14"/>
      <c r="E23" s="14"/>
      <c r="F23" s="14"/>
      <c r="G23" s="14"/>
      <c r="H23" s="14"/>
    </row>
    <row r="24" customFormat="false" ht="26.85" hidden="false" customHeight="true" outlineLevel="0" collapsed="false">
      <c r="A24" s="10" t="s">
        <v>67</v>
      </c>
      <c r="B24" s="16" t="s">
        <v>68</v>
      </c>
      <c r="C24" s="16"/>
      <c r="D24" s="16"/>
      <c r="E24" s="16"/>
      <c r="F24" s="16"/>
      <c r="G24" s="16"/>
      <c r="H24" s="16"/>
    </row>
    <row r="25" customFormat="false" ht="15" hidden="false" customHeight="false" outlineLevel="0" collapsed="false">
      <c r="B25" s="16"/>
      <c r="C25" s="16"/>
      <c r="D25" s="16"/>
      <c r="E25" s="16"/>
      <c r="F25" s="16"/>
      <c r="G25" s="16"/>
      <c r="H25" s="16"/>
    </row>
    <row r="26" customFormat="false" ht="15" hidden="false" customHeight="false" outlineLevel="0" collapsed="false">
      <c r="A26" s="17" t="s">
        <v>69</v>
      </c>
      <c r="B26" s="17" t="s">
        <v>70</v>
      </c>
      <c r="C26" s="18" t="s">
        <v>71</v>
      </c>
      <c r="D26" s="17" t="s">
        <v>72</v>
      </c>
      <c r="E26" s="17" t="s">
        <v>73</v>
      </c>
      <c r="F26" s="17" t="s">
        <v>74</v>
      </c>
      <c r="G26" s="17" t="s">
        <v>75</v>
      </c>
      <c r="H26" s="17" t="s">
        <v>76</v>
      </c>
    </row>
    <row r="27" customFormat="false" ht="26.85" hidden="false" customHeight="false" outlineLevel="0" collapsed="false">
      <c r="A27" s="19" t="s">
        <v>77</v>
      </c>
      <c r="B27" s="11" t="s">
        <v>78</v>
      </c>
      <c r="C27" s="12" t="s">
        <v>79</v>
      </c>
      <c r="D27" s="20" t="n">
        <v>6000</v>
      </c>
      <c r="E27" s="21" t="n">
        <v>0.7</v>
      </c>
      <c r="F27" s="22" t="n">
        <f aca="false">IF(OR(D27="",E27=""),"",D27*E27)</f>
        <v>4200</v>
      </c>
      <c r="G27" s="11" t="s">
        <v>80</v>
      </c>
      <c r="H27" s="21" t="n">
        <v>0.6</v>
      </c>
    </row>
    <row r="28" customFormat="false" ht="26.85" hidden="false" customHeight="false" outlineLevel="0" collapsed="false">
      <c r="A28" s="19" t="s">
        <v>81</v>
      </c>
      <c r="B28" s="11" t="s">
        <v>82</v>
      </c>
      <c r="C28" s="12" t="s">
        <v>83</v>
      </c>
      <c r="D28" s="20" t="n">
        <v>4000</v>
      </c>
      <c r="E28" s="21" t="n">
        <v>0.8</v>
      </c>
      <c r="F28" s="22" t="n">
        <f aca="false">IF(OR(D28="",E28=""),"",D28*E28)</f>
        <v>3200</v>
      </c>
      <c r="G28" s="11" t="s">
        <v>84</v>
      </c>
      <c r="H28" s="21" t="n">
        <v>0.3</v>
      </c>
    </row>
    <row r="29" customFormat="false" ht="15" hidden="false" customHeight="false" outlineLevel="0" collapsed="false">
      <c r="A29" s="19" t="s">
        <v>85</v>
      </c>
      <c r="B29" s="13"/>
      <c r="C29" s="13"/>
      <c r="D29" s="23"/>
      <c r="E29" s="24"/>
      <c r="F29" s="22" t="str">
        <f aca="false">IF(OR(D29="",E29=""),"",D29*E29)</f>
        <v/>
      </c>
      <c r="G29" s="13"/>
      <c r="H29" s="24"/>
    </row>
    <row r="30" customFormat="false" ht="15" hidden="false" customHeight="false" outlineLevel="0" collapsed="false">
      <c r="A30" s="10" t="s">
        <v>86</v>
      </c>
      <c r="H30" s="25" t="n">
        <f aca="false">IF(COUNT(H27:H29)=0,"",SUM(H27:H29))</f>
        <v>0.9</v>
      </c>
    </row>
    <row r="31" customFormat="false" ht="26.85" hidden="false" customHeight="true" outlineLevel="0" collapsed="false">
      <c r="A31" s="10" t="s">
        <v>87</v>
      </c>
      <c r="B31" s="16" t="s">
        <v>88</v>
      </c>
      <c r="C31" s="16"/>
      <c r="D31" s="16"/>
      <c r="E31" s="16"/>
      <c r="F31" s="16"/>
      <c r="G31" s="16"/>
      <c r="H31" s="16"/>
    </row>
    <row r="32" customFormat="false" ht="15" hidden="false" customHeight="false" outlineLevel="0" collapsed="false">
      <c r="B32" s="16"/>
      <c r="C32" s="16"/>
      <c r="D32" s="16"/>
      <c r="E32" s="16"/>
      <c r="F32" s="16"/>
      <c r="G32" s="16"/>
      <c r="H32" s="16"/>
    </row>
    <row r="33" customFormat="false" ht="15" hidden="false" customHeight="false" outlineLevel="0" collapsed="false">
      <c r="B33" s="16"/>
      <c r="C33" s="16"/>
      <c r="D33" s="16"/>
      <c r="E33" s="16"/>
      <c r="F33" s="16"/>
      <c r="G33" s="16"/>
      <c r="H33" s="16"/>
    </row>
    <row r="34" customFormat="false" ht="26.85" hidden="false" customHeight="true" outlineLevel="0" collapsed="false">
      <c r="A34" s="10" t="s">
        <v>89</v>
      </c>
      <c r="B34" s="16" t="s">
        <v>90</v>
      </c>
      <c r="C34" s="16"/>
      <c r="D34" s="16"/>
      <c r="E34" s="16"/>
      <c r="F34" s="16"/>
      <c r="G34" s="16"/>
      <c r="H34" s="16"/>
    </row>
    <row r="35" customFormat="false" ht="15" hidden="false" customHeight="false" outlineLevel="0" collapsed="false">
      <c r="B35" s="16"/>
      <c r="C35" s="16"/>
      <c r="D35" s="16"/>
      <c r="E35" s="16"/>
      <c r="F35" s="16"/>
      <c r="G35" s="16"/>
      <c r="H35" s="16"/>
    </row>
    <row r="36" customFormat="false" ht="15" hidden="false" customHeight="false" outlineLevel="0" collapsed="false">
      <c r="B36" s="16"/>
      <c r="C36" s="16"/>
      <c r="D36" s="16"/>
      <c r="E36" s="16"/>
      <c r="F36" s="16"/>
      <c r="G36" s="16"/>
      <c r="H36" s="16"/>
    </row>
    <row r="37" customFormat="false" ht="26.85" hidden="false" customHeight="true" outlineLevel="0" collapsed="false">
      <c r="A37" s="10" t="s">
        <v>91</v>
      </c>
      <c r="B37" s="16" t="s">
        <v>92</v>
      </c>
      <c r="C37" s="16"/>
      <c r="D37" s="16"/>
      <c r="E37" s="16"/>
      <c r="F37" s="16"/>
      <c r="G37" s="16"/>
      <c r="H37" s="16"/>
    </row>
    <row r="38" customFormat="false" ht="15" hidden="false" customHeight="false" outlineLevel="0" collapsed="false">
      <c r="B38" s="16"/>
      <c r="C38" s="16"/>
      <c r="D38" s="16"/>
      <c r="E38" s="16"/>
      <c r="F38" s="16"/>
      <c r="G38" s="16"/>
      <c r="H38" s="16"/>
    </row>
    <row r="39" customFormat="false" ht="15" hidden="false" customHeight="false" outlineLevel="0" collapsed="false">
      <c r="B39" s="16"/>
      <c r="C39" s="16"/>
      <c r="D39" s="16"/>
      <c r="E39" s="16"/>
      <c r="F39" s="16"/>
      <c r="G39" s="16"/>
      <c r="H39" s="16"/>
    </row>
    <row r="41" customFormat="false" ht="19.5" hidden="false" customHeight="true" outlineLevel="0" collapsed="false">
      <c r="A41" s="14" t="s">
        <v>93</v>
      </c>
      <c r="B41" s="14"/>
      <c r="C41" s="14"/>
      <c r="D41" s="14"/>
      <c r="E41" s="14"/>
      <c r="F41" s="14"/>
      <c r="G41" s="14"/>
      <c r="H41" s="14"/>
    </row>
    <row r="42" customFormat="false" ht="15" hidden="false" customHeight="false" outlineLevel="0" collapsed="false">
      <c r="A42" s="10" t="s">
        <v>94</v>
      </c>
      <c r="B42" s="26" t="n">
        <v>8</v>
      </c>
      <c r="C42" s="10" t="s">
        <v>95</v>
      </c>
      <c r="D42" s="15" t="n">
        <v>0</v>
      </c>
      <c r="E42" s="10" t="s">
        <v>96</v>
      </c>
      <c r="F42" s="27" t="n">
        <v>1</v>
      </c>
    </row>
    <row r="43" customFormat="false" ht="15" hidden="false" customHeight="true" outlineLevel="0" collapsed="false">
      <c r="A43" s="28" t="s">
        <v>97</v>
      </c>
      <c r="B43" s="16" t="s">
        <v>98</v>
      </c>
      <c r="C43" s="16"/>
      <c r="D43" s="16"/>
      <c r="E43" s="16"/>
      <c r="F43" s="16"/>
      <c r="G43" s="16"/>
      <c r="H43" s="16"/>
    </row>
    <row r="44" customFormat="false" ht="15" hidden="false" customHeight="false" outlineLevel="0" collapsed="false">
      <c r="B44" s="16"/>
      <c r="C44" s="16"/>
      <c r="D44" s="16"/>
      <c r="E44" s="16"/>
      <c r="F44" s="16"/>
      <c r="G44" s="16"/>
      <c r="H44" s="16"/>
    </row>
    <row r="45" customFormat="false" ht="15" hidden="false" customHeight="true" outlineLevel="0" collapsed="false">
      <c r="A45" s="10" t="s">
        <v>99</v>
      </c>
      <c r="B45" s="16" t="s">
        <v>100</v>
      </c>
      <c r="C45" s="16"/>
      <c r="D45" s="16"/>
      <c r="E45" s="16"/>
      <c r="F45" s="16"/>
      <c r="G45" s="16"/>
      <c r="H45" s="16"/>
    </row>
    <row r="46" customFormat="false" ht="15" hidden="false" customHeight="false" outlineLevel="0" collapsed="false">
      <c r="B46" s="16"/>
      <c r="C46" s="16"/>
      <c r="D46" s="16"/>
      <c r="E46" s="16"/>
      <c r="F46" s="16"/>
      <c r="G46" s="16"/>
      <c r="H46" s="16"/>
    </row>
    <row r="48" customFormat="false" ht="19.5" hidden="false" customHeight="true" outlineLevel="0" collapsed="false">
      <c r="A48" s="14" t="s">
        <v>101</v>
      </c>
      <c r="B48" s="14"/>
      <c r="C48" s="14"/>
      <c r="D48" s="14"/>
      <c r="E48" s="14"/>
      <c r="F48" s="14"/>
      <c r="G48" s="14"/>
      <c r="H48" s="14"/>
    </row>
    <row r="49" customFormat="false" ht="15" hidden="false" customHeight="true" outlineLevel="0" collapsed="false">
      <c r="A49" s="17" t="s">
        <v>69</v>
      </c>
      <c r="B49" s="17" t="s">
        <v>102</v>
      </c>
      <c r="C49" s="17" t="s">
        <v>103</v>
      </c>
      <c r="D49" s="17" t="s">
        <v>104</v>
      </c>
      <c r="E49" s="17" t="s">
        <v>105</v>
      </c>
      <c r="F49" s="17" t="s">
        <v>106</v>
      </c>
      <c r="G49" s="17" t="s">
        <v>107</v>
      </c>
      <c r="H49" s="17"/>
    </row>
    <row r="50" customFormat="false" ht="15" hidden="false" customHeight="true" outlineLevel="0" collapsed="false">
      <c r="A50" s="19" t="s">
        <v>108</v>
      </c>
      <c r="B50" s="11" t="s">
        <v>109</v>
      </c>
      <c r="C50" s="11" t="s">
        <v>110</v>
      </c>
      <c r="D50" s="11" t="s">
        <v>80</v>
      </c>
      <c r="E50" s="21" t="n">
        <v>0.7</v>
      </c>
      <c r="F50" s="11" t="s">
        <v>111</v>
      </c>
      <c r="G50" s="11" t="s">
        <v>112</v>
      </c>
      <c r="H50" s="11"/>
    </row>
    <row r="51" customFormat="false" ht="15" hidden="false" customHeight="false" outlineLevel="0" collapsed="false">
      <c r="A51" s="19" t="s">
        <v>108</v>
      </c>
      <c r="B51" s="13"/>
      <c r="C51" s="13"/>
      <c r="D51" s="13"/>
      <c r="E51" s="23"/>
      <c r="F51" s="13"/>
      <c r="G51" s="13"/>
      <c r="H51" s="13"/>
    </row>
    <row r="52" customFormat="false" ht="26.85" hidden="false" customHeight="false" outlineLevel="0" collapsed="false">
      <c r="A52" s="19" t="s">
        <v>113</v>
      </c>
      <c r="B52" s="11" t="s">
        <v>114</v>
      </c>
      <c r="C52" s="11" t="s">
        <v>115</v>
      </c>
      <c r="D52" s="12" t="s">
        <v>116</v>
      </c>
      <c r="E52" s="20" t="n">
        <v>990</v>
      </c>
      <c r="F52" s="11" t="s">
        <v>117</v>
      </c>
      <c r="G52" s="11"/>
      <c r="H52" s="11"/>
    </row>
    <row r="53" customFormat="false" ht="26.85" hidden="false" customHeight="false" outlineLevel="0" collapsed="false">
      <c r="A53" s="19" t="s">
        <v>113</v>
      </c>
      <c r="B53" s="11" t="s">
        <v>118</v>
      </c>
      <c r="C53" s="11" t="s">
        <v>119</v>
      </c>
      <c r="D53" s="11" t="s">
        <v>120</v>
      </c>
      <c r="E53" s="20" t="n">
        <v>1300</v>
      </c>
      <c r="F53" s="11" t="s">
        <v>121</v>
      </c>
      <c r="G53" s="11"/>
      <c r="H53" s="11"/>
    </row>
    <row r="54" customFormat="false" ht="15" hidden="false" customHeight="false" outlineLevel="0" collapsed="false">
      <c r="A54" s="19" t="s">
        <v>113</v>
      </c>
      <c r="B54" s="13"/>
      <c r="C54" s="13"/>
      <c r="D54" s="13"/>
      <c r="E54" s="23"/>
      <c r="F54" s="13"/>
      <c r="G54" s="13"/>
      <c r="H54" s="13"/>
    </row>
    <row r="55" customFormat="false" ht="15" hidden="false" customHeight="false" outlineLevel="0" collapsed="false">
      <c r="A55" s="19" t="s">
        <v>122</v>
      </c>
      <c r="B55" s="11" t="s">
        <v>123</v>
      </c>
      <c r="C55" s="11"/>
      <c r="D55" s="11"/>
      <c r="E55" s="20"/>
      <c r="F55" s="11"/>
      <c r="G55" s="11"/>
      <c r="H55" s="11"/>
    </row>
    <row r="57" customFormat="false" ht="19.5" hidden="false" customHeight="true" outlineLevel="0" collapsed="false">
      <c r="A57" s="14" t="s">
        <v>124</v>
      </c>
      <c r="B57" s="14"/>
      <c r="C57" s="14"/>
      <c r="D57" s="14"/>
      <c r="E57" s="14"/>
      <c r="F57" s="14"/>
      <c r="G57" s="14"/>
      <c r="H57" s="14"/>
    </row>
    <row r="58" customFormat="false" ht="15" hidden="false" customHeight="true" outlineLevel="0" collapsed="false">
      <c r="A58" s="16" t="s">
        <v>125</v>
      </c>
      <c r="B58" s="16"/>
      <c r="C58" s="16"/>
      <c r="D58" s="16"/>
      <c r="E58" s="16"/>
      <c r="F58" s="16"/>
      <c r="G58" s="16"/>
      <c r="H58" s="16"/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6"/>
      <c r="G59" s="16"/>
      <c r="H59" s="16"/>
    </row>
    <row r="61" customFormat="false" ht="19.5" hidden="false" customHeight="true" outlineLevel="0" collapsed="false">
      <c r="A61" s="14" t="s">
        <v>126</v>
      </c>
      <c r="B61" s="14"/>
      <c r="C61" s="14"/>
      <c r="D61" s="14"/>
      <c r="E61" s="14"/>
      <c r="F61" s="14"/>
      <c r="G61" s="14"/>
      <c r="H61" s="14"/>
    </row>
    <row r="62" customFormat="false" ht="15" hidden="false" customHeight="true" outlineLevel="0" collapsed="false">
      <c r="A62" s="17" t="s">
        <v>127</v>
      </c>
      <c r="B62" s="17" t="s">
        <v>128</v>
      </c>
      <c r="C62" s="17" t="s">
        <v>107</v>
      </c>
      <c r="D62" s="17"/>
      <c r="E62" s="17"/>
      <c r="F62" s="17"/>
      <c r="G62" s="17"/>
      <c r="H62" s="17"/>
    </row>
    <row r="63" customFormat="false" ht="15" hidden="false" customHeight="true" outlineLevel="0" collapsed="false">
      <c r="A63" s="11" t="s">
        <v>129</v>
      </c>
      <c r="B63" s="20" t="n">
        <v>1100</v>
      </c>
      <c r="C63" s="11" t="s">
        <v>130</v>
      </c>
      <c r="D63" s="11"/>
      <c r="E63" s="11"/>
      <c r="F63" s="11"/>
      <c r="G63" s="11"/>
      <c r="H63" s="11"/>
    </row>
    <row r="64" customFormat="false" ht="15" hidden="false" customHeight="false" outlineLevel="0" collapsed="false">
      <c r="A64" s="11" t="s">
        <v>114</v>
      </c>
      <c r="B64" s="20" t="n">
        <v>990</v>
      </c>
      <c r="C64" s="11"/>
      <c r="D64" s="11"/>
      <c r="E64" s="11"/>
      <c r="F64" s="11"/>
      <c r="G64" s="11"/>
      <c r="H64" s="11"/>
    </row>
    <row r="65" customFormat="false" ht="15" hidden="false" customHeight="false" outlineLevel="0" collapsed="false">
      <c r="A65" s="11" t="s">
        <v>131</v>
      </c>
      <c r="B65" s="20" t="n">
        <v>3000</v>
      </c>
      <c r="C65" s="11"/>
      <c r="D65" s="11"/>
      <c r="E65" s="11"/>
      <c r="F65" s="11"/>
      <c r="G65" s="11"/>
      <c r="H65" s="11"/>
    </row>
    <row r="66" customFormat="false" ht="15" hidden="false" customHeight="false" outlineLevel="0" collapsed="false">
      <c r="A66" s="13"/>
      <c r="B66" s="23"/>
      <c r="C66" s="13"/>
      <c r="D66" s="13"/>
      <c r="E66" s="13"/>
      <c r="F66" s="13"/>
      <c r="G66" s="13"/>
      <c r="H66" s="13"/>
    </row>
    <row r="67" customFormat="false" ht="15" hidden="false" customHeight="false" outlineLevel="0" collapsed="false">
      <c r="A67" s="19" t="s">
        <v>132</v>
      </c>
      <c r="B67" s="22" t="n">
        <f aca="false">IF(COUNT(B63:B66)=0,"",SUM(B63:B66))</f>
        <v>5090</v>
      </c>
    </row>
    <row r="69" customFormat="false" ht="19.5" hidden="false" customHeight="true" outlineLevel="0" collapsed="false">
      <c r="A69" s="14" t="s">
        <v>133</v>
      </c>
      <c r="B69" s="14"/>
      <c r="C69" s="14"/>
      <c r="D69" s="14"/>
      <c r="E69" s="14"/>
      <c r="F69" s="14"/>
      <c r="G69" s="14"/>
      <c r="H69" s="14"/>
    </row>
    <row r="70" customFormat="false" ht="15" hidden="false" customHeight="true" outlineLevel="0" collapsed="false">
      <c r="A70" s="17" t="s">
        <v>134</v>
      </c>
      <c r="B70" s="17" t="s">
        <v>135</v>
      </c>
      <c r="C70" s="17" t="s">
        <v>136</v>
      </c>
      <c r="D70" s="17"/>
      <c r="E70" s="17" t="s">
        <v>137</v>
      </c>
      <c r="F70" s="17" t="s">
        <v>136</v>
      </c>
      <c r="G70" s="17" t="s">
        <v>107</v>
      </c>
      <c r="H70" s="17"/>
    </row>
    <row r="71" customFormat="false" ht="26.85" hidden="false" customHeight="false" outlineLevel="0" collapsed="false">
      <c r="A71" s="11" t="s">
        <v>138</v>
      </c>
      <c r="B71" s="11" t="s">
        <v>139</v>
      </c>
      <c r="C71" s="20" t="n">
        <v>13200</v>
      </c>
      <c r="E71" s="11" t="s">
        <v>140</v>
      </c>
      <c r="F71" s="20" t="n">
        <v>50000</v>
      </c>
      <c r="G71" s="13"/>
      <c r="H71" s="13"/>
    </row>
    <row r="72" customFormat="false" ht="15" hidden="false" customHeight="false" outlineLevel="0" collapsed="false">
      <c r="A72" s="11" t="s">
        <v>141</v>
      </c>
      <c r="B72" s="11" t="s">
        <v>142</v>
      </c>
      <c r="C72" s="20" t="n">
        <v>17600</v>
      </c>
      <c r="E72" s="13"/>
      <c r="F72" s="23"/>
      <c r="G72" s="13"/>
      <c r="H72" s="13"/>
    </row>
    <row r="73" customFormat="false" ht="26.85" hidden="false" customHeight="false" outlineLevel="0" collapsed="false">
      <c r="A73" s="11" t="s">
        <v>143</v>
      </c>
      <c r="B73" s="12" t="s">
        <v>71</v>
      </c>
      <c r="C73" s="20" t="n">
        <v>15000</v>
      </c>
      <c r="E73" s="13"/>
      <c r="F73" s="23"/>
      <c r="G73" s="13"/>
      <c r="H73" s="13"/>
    </row>
    <row r="74" customFormat="false" ht="15" hidden="false" customHeight="false" outlineLevel="0" collapsed="false">
      <c r="A74" s="13"/>
      <c r="B74" s="13"/>
      <c r="C74" s="23"/>
      <c r="E74" s="13"/>
      <c r="F74" s="23"/>
      <c r="G74" s="13"/>
      <c r="H74" s="13"/>
    </row>
    <row r="75" customFormat="false" ht="15" hidden="false" customHeight="false" outlineLevel="0" collapsed="false">
      <c r="A75" s="13"/>
      <c r="B75" s="13"/>
      <c r="C75" s="23"/>
      <c r="E75" s="13"/>
      <c r="F75" s="23"/>
      <c r="G75" s="13"/>
      <c r="H75" s="13"/>
    </row>
    <row r="76" customFormat="false" ht="15" hidden="false" customHeight="false" outlineLevel="0" collapsed="false">
      <c r="A76" s="19" t="s">
        <v>144</v>
      </c>
      <c r="C76" s="22" t="n">
        <f aca="false">IF(COUNT(C71:C75)=0,"",SUM(C71:C75))</f>
        <v>45800</v>
      </c>
      <c r="E76" s="19" t="s">
        <v>145</v>
      </c>
      <c r="F76" s="22" t="n">
        <f aca="false">IF(COUNT(F71:F75)=0,"",SUM(F71:F75))</f>
        <v>50000</v>
      </c>
    </row>
    <row r="77" customFormat="false" ht="15" hidden="false" customHeight="false" outlineLevel="0" collapsed="false">
      <c r="A77" s="10" t="s">
        <v>146</v>
      </c>
      <c r="C77" s="29" t="n">
        <f aca="false">IF(OR(C76="",F76=""),"",F76-C76)</f>
        <v>4200</v>
      </c>
    </row>
    <row r="79" customFormat="false" ht="19.5" hidden="false" customHeight="true" outlineLevel="0" collapsed="false">
      <c r="A79" s="14" t="s">
        <v>147</v>
      </c>
      <c r="B79" s="14"/>
      <c r="C79" s="14"/>
      <c r="D79" s="14"/>
      <c r="E79" s="14"/>
      <c r="F79" s="14"/>
      <c r="G79" s="14"/>
      <c r="H79" s="14"/>
    </row>
    <row r="80" customFormat="false" ht="26.85" hidden="false" customHeight="true" outlineLevel="0" collapsed="false">
      <c r="A80" s="17" t="s">
        <v>127</v>
      </c>
      <c r="B80" s="17" t="s">
        <v>148</v>
      </c>
      <c r="C80" s="18" t="s">
        <v>149</v>
      </c>
      <c r="D80" s="17" t="s">
        <v>150</v>
      </c>
      <c r="E80" s="17"/>
      <c r="F80" s="17"/>
      <c r="G80" s="17"/>
      <c r="H80" s="17"/>
    </row>
    <row r="81" customFormat="false" ht="15" hidden="false" customHeight="true" outlineLevel="0" collapsed="false">
      <c r="A81" s="19" t="s">
        <v>151</v>
      </c>
      <c r="B81" s="20" t="n">
        <v>300</v>
      </c>
      <c r="C81" s="20" t="n">
        <v>4000</v>
      </c>
      <c r="D81" s="11" t="s">
        <v>152</v>
      </c>
      <c r="E81" s="11"/>
      <c r="F81" s="11"/>
      <c r="G81" s="11"/>
      <c r="H81" s="11"/>
    </row>
    <row r="82" customFormat="false" ht="15" hidden="false" customHeight="true" outlineLevel="0" collapsed="false">
      <c r="A82" s="19" t="s">
        <v>153</v>
      </c>
      <c r="B82" s="30" t="n">
        <v>0.1</v>
      </c>
      <c r="C82" s="30" t="n">
        <v>0.2</v>
      </c>
      <c r="D82" s="11" t="s">
        <v>154</v>
      </c>
      <c r="E82" s="11"/>
      <c r="F82" s="11"/>
      <c r="G82" s="11"/>
      <c r="H82" s="11"/>
    </row>
    <row r="83" customFormat="false" ht="15" hidden="false" customHeight="true" outlineLevel="0" collapsed="false">
      <c r="A83" s="19" t="s">
        <v>155</v>
      </c>
      <c r="B83" s="30" t="n">
        <v>0.01</v>
      </c>
      <c r="C83" s="30" t="n">
        <v>0.01</v>
      </c>
      <c r="D83" s="11" t="s">
        <v>156</v>
      </c>
      <c r="E83" s="11"/>
      <c r="F83" s="11"/>
      <c r="G83" s="11"/>
      <c r="H83" s="11"/>
    </row>
    <row r="84" customFormat="false" ht="15" hidden="false" customHeight="true" outlineLevel="0" collapsed="false">
      <c r="A84" s="19" t="s">
        <v>157</v>
      </c>
      <c r="B84" s="31" t="n">
        <f aca="false">IF(OR(B81="",B82="",B83=""),"",B81*B82*B83)</f>
        <v>0.3</v>
      </c>
      <c r="C84" s="31" t="n">
        <f aca="false">IF(OR(C81="",C82="",C83=""),"",C81*C82*C83)</f>
        <v>8</v>
      </c>
      <c r="D84" s="11" t="s">
        <v>158</v>
      </c>
      <c r="E84" s="11"/>
      <c r="F84" s="11"/>
      <c r="G84" s="11"/>
      <c r="H84" s="11"/>
    </row>
    <row r="85" customFormat="false" ht="15" hidden="false" customHeight="true" outlineLevel="0" collapsed="false">
      <c r="A85" s="19" t="s">
        <v>73</v>
      </c>
      <c r="B85" s="21" t="n">
        <v>0.7</v>
      </c>
      <c r="C85" s="21" t="n">
        <v>0.7</v>
      </c>
      <c r="D85" s="11" t="s">
        <v>159</v>
      </c>
      <c r="E85" s="11"/>
      <c r="F85" s="11"/>
      <c r="G85" s="11"/>
      <c r="H85" s="11"/>
    </row>
    <row r="86" customFormat="false" ht="15" hidden="false" customHeight="true" outlineLevel="0" collapsed="false">
      <c r="A86" s="19" t="s">
        <v>160</v>
      </c>
      <c r="B86" s="31" t="n">
        <f aca="false">IF(OR(B84="",B85=""),"",B84*B85)</f>
        <v>0.21</v>
      </c>
      <c r="C86" s="31" t="n">
        <f aca="false">IF(OR(C84="",C85=""),"",C84*C85)</f>
        <v>5.6</v>
      </c>
      <c r="D86" s="11" t="s">
        <v>161</v>
      </c>
      <c r="E86" s="11"/>
      <c r="F86" s="11"/>
      <c r="G86" s="11"/>
      <c r="H86" s="11"/>
    </row>
    <row r="87" customFormat="false" ht="15" hidden="false" customHeight="true" outlineLevel="0" collapsed="false">
      <c r="A87" s="32" t="s">
        <v>162</v>
      </c>
      <c r="B87" s="20" t="n">
        <v>6000</v>
      </c>
      <c r="C87" s="20" t="n">
        <v>6000</v>
      </c>
      <c r="D87" s="11" t="s">
        <v>163</v>
      </c>
      <c r="E87" s="11"/>
      <c r="F87" s="11"/>
      <c r="G87" s="11"/>
      <c r="H87" s="11"/>
    </row>
    <row r="88" customFormat="false" ht="15" hidden="false" customHeight="true" outlineLevel="0" collapsed="false">
      <c r="A88" s="19" t="s">
        <v>164</v>
      </c>
      <c r="B88" s="22" t="n">
        <f aca="false">IF(OR(B86="",B87=""),"",B86*B87)</f>
        <v>1260</v>
      </c>
      <c r="C88" s="22" t="n">
        <f aca="false">IF(OR(C86="",C87=""),"",C86*C87)</f>
        <v>33600</v>
      </c>
      <c r="D88" s="11" t="s">
        <v>165</v>
      </c>
      <c r="E88" s="11"/>
      <c r="F88" s="11"/>
      <c r="G88" s="11"/>
      <c r="H88" s="11"/>
    </row>
    <row r="89" customFormat="false" ht="15" hidden="false" customHeight="true" outlineLevel="0" collapsed="false">
      <c r="A89" s="19" t="s">
        <v>166</v>
      </c>
      <c r="B89" s="22" t="n">
        <f aca="false">IF(創業計画書!B67="","",創業計画書!B67)</f>
        <v>5090</v>
      </c>
      <c r="C89" s="22" t="n">
        <f aca="false">IF(創業計画書!B67="","",創業計画書!B67)</f>
        <v>5090</v>
      </c>
      <c r="D89" s="11" t="s">
        <v>167</v>
      </c>
      <c r="E89" s="11"/>
      <c r="F89" s="11"/>
      <c r="G89" s="11"/>
      <c r="H89" s="11"/>
    </row>
    <row r="90" customFormat="false" ht="15" hidden="false" customHeight="true" outlineLevel="0" collapsed="false">
      <c r="A90" s="19" t="s">
        <v>168</v>
      </c>
      <c r="B90" s="29" t="n">
        <f aca="false">IF(OR(B88="",B89=""),"",B88-B89)</f>
        <v>-3830</v>
      </c>
      <c r="C90" s="29" t="n">
        <f aca="false">IF(OR(C88="",C89=""),"",C88-C89)</f>
        <v>28510</v>
      </c>
      <c r="D90" s="11" t="s">
        <v>169</v>
      </c>
      <c r="E90" s="11"/>
      <c r="F90" s="11"/>
      <c r="G90" s="11"/>
      <c r="H90" s="11"/>
    </row>
    <row r="91" customFormat="false" ht="26.85" hidden="false" customHeight="false" outlineLevel="0" collapsed="false">
      <c r="A91" s="10" t="s">
        <v>170</v>
      </c>
      <c r="C91" s="29" t="n">
        <f aca="false">IF(OR(C88="",B6=""),"",C88-B6)</f>
        <v>-16400</v>
      </c>
    </row>
    <row r="93" customFormat="false" ht="19.5" hidden="false" customHeight="true" outlineLevel="0" collapsed="false">
      <c r="A93" s="14" t="s">
        <v>171</v>
      </c>
      <c r="B93" s="14"/>
      <c r="C93" s="14"/>
      <c r="D93" s="14"/>
      <c r="E93" s="14"/>
      <c r="F93" s="14"/>
      <c r="G93" s="14"/>
      <c r="H93" s="14"/>
    </row>
    <row r="94" customFormat="false" ht="15" hidden="false" customHeight="true" outlineLevel="0" collapsed="false">
      <c r="A94" s="16" t="s">
        <v>172</v>
      </c>
      <c r="B94" s="16"/>
      <c r="C94" s="16"/>
      <c r="D94" s="16"/>
      <c r="E94" s="16"/>
      <c r="F94" s="16"/>
      <c r="G94" s="16"/>
      <c r="H94" s="16"/>
    </row>
    <row r="95" customFormat="false" ht="15" hidden="false" customHeight="false" outlineLevel="0" collapsed="false">
      <c r="A95" s="16"/>
      <c r="B95" s="16"/>
      <c r="C95" s="16"/>
      <c r="D95" s="16"/>
      <c r="E95" s="16"/>
      <c r="F95" s="16"/>
      <c r="G95" s="16"/>
      <c r="H95" s="16"/>
    </row>
    <row r="96" customFormat="false" ht="1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</row>
    <row r="97" customFormat="false" ht="1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</row>
  </sheetData>
  <mergeCells count="58">
    <mergeCell ref="B2:D2"/>
    <mergeCell ref="B3:D3"/>
    <mergeCell ref="A5:H5"/>
    <mergeCell ref="B7:H9"/>
    <mergeCell ref="A11:H11"/>
    <mergeCell ref="B12:H12"/>
    <mergeCell ref="B13:H13"/>
    <mergeCell ref="B14:H14"/>
    <mergeCell ref="B15:H15"/>
    <mergeCell ref="B16:H16"/>
    <mergeCell ref="B17:H17"/>
    <mergeCell ref="B18:H18"/>
    <mergeCell ref="B19:H21"/>
    <mergeCell ref="A23:H23"/>
    <mergeCell ref="B24:H25"/>
    <mergeCell ref="B31:H33"/>
    <mergeCell ref="B34:H36"/>
    <mergeCell ref="B37:H39"/>
    <mergeCell ref="A41:H41"/>
    <mergeCell ref="B43:H44"/>
    <mergeCell ref="B45:H46"/>
    <mergeCell ref="A48:H48"/>
    <mergeCell ref="G49:H49"/>
    <mergeCell ref="G50:H50"/>
    <mergeCell ref="G51:H51"/>
    <mergeCell ref="G52:H52"/>
    <mergeCell ref="G53:H53"/>
    <mergeCell ref="G54:H54"/>
    <mergeCell ref="G55:H55"/>
    <mergeCell ref="A57:H57"/>
    <mergeCell ref="A58:H59"/>
    <mergeCell ref="A61:H61"/>
    <mergeCell ref="C62:H62"/>
    <mergeCell ref="C63:H63"/>
    <mergeCell ref="C64:H64"/>
    <mergeCell ref="C65:H65"/>
    <mergeCell ref="C66:H66"/>
    <mergeCell ref="A69:H69"/>
    <mergeCell ref="G70:H70"/>
    <mergeCell ref="G71:H71"/>
    <mergeCell ref="G72:H72"/>
    <mergeCell ref="G73:H73"/>
    <mergeCell ref="G74:H74"/>
    <mergeCell ref="G75:H75"/>
    <mergeCell ref="A79:H79"/>
    <mergeCell ref="D80:H80"/>
    <mergeCell ref="D81:H81"/>
    <mergeCell ref="D82:H82"/>
    <mergeCell ref="D83:H83"/>
    <mergeCell ref="D84:H84"/>
    <mergeCell ref="D85:H85"/>
    <mergeCell ref="D86:H86"/>
    <mergeCell ref="D87:H87"/>
    <mergeCell ref="D88:H88"/>
    <mergeCell ref="D89:H89"/>
    <mergeCell ref="D90:H90"/>
    <mergeCell ref="A93:H93"/>
    <mergeCell ref="A94:H97"/>
  </mergeCells>
  <dataValidations count="1">
    <dataValidation allowBlank="true" errorStyle="stop" operator="between" showDropDown="false" showErrorMessage="false" showInputMessage="false" sqref="F6" type="list">
      <formula1>"高単価型,中単価型,低単価型"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6" min="5" style="0" width="18"/>
    <col collapsed="false" customWidth="true" hidden="false" outlineLevel="0" max="7" min="7" style="0" width="26"/>
    <col collapsed="false" customWidth="true" hidden="false" outlineLevel="0" max="8" min="8" style="0" width="14"/>
  </cols>
  <sheetData>
    <row r="1" customFormat="false" ht="19.4" hidden="false" customHeight="false" outlineLevel="0" collapsed="false">
      <c r="A1" s="33" t="s">
        <v>173</v>
      </c>
    </row>
    <row r="3" customFormat="false" ht="19.5" hidden="false" customHeight="true" outlineLevel="0" collapsed="false">
      <c r="A3" s="34" t="s">
        <v>174</v>
      </c>
      <c r="B3" s="34"/>
      <c r="C3" s="34"/>
      <c r="D3" s="34"/>
      <c r="E3" s="34"/>
      <c r="F3" s="34"/>
      <c r="G3" s="34"/>
      <c r="H3" s="34"/>
    </row>
    <row r="4" customFormat="false" ht="15" hidden="false" customHeight="false" outlineLevel="0" collapsed="false">
      <c r="A4" s="17" t="s">
        <v>175</v>
      </c>
      <c r="B4" s="17" t="s">
        <v>176</v>
      </c>
      <c r="C4" s="18" t="s">
        <v>177</v>
      </c>
      <c r="D4" s="17" t="s">
        <v>178</v>
      </c>
      <c r="E4" s="17" t="s">
        <v>179</v>
      </c>
      <c r="F4" s="18" t="s">
        <v>180</v>
      </c>
      <c r="G4" s="17" t="s">
        <v>181</v>
      </c>
      <c r="H4" s="17" t="s">
        <v>182</v>
      </c>
    </row>
    <row r="5" customFormat="false" ht="15" hidden="false" customHeight="false" outlineLevel="0" collapsed="false">
      <c r="A5" s="11" t="s">
        <v>183</v>
      </c>
      <c r="B5" s="20" t="n">
        <v>7500</v>
      </c>
      <c r="C5" s="20" t="n">
        <v>287</v>
      </c>
      <c r="D5" s="20" t="n">
        <v>50</v>
      </c>
      <c r="E5" s="31" t="n">
        <f aca="false">IF(OR(B5="",C5="",C5=0),"",B5/C5)</f>
        <v>26.1324041811847</v>
      </c>
      <c r="F5" s="35" t="n">
        <f aca="false">IF(OR(C5="",D5="",D5=0),"",C5/D5)</f>
        <v>5.74</v>
      </c>
      <c r="G5" s="12" t="s">
        <v>184</v>
      </c>
      <c r="H5" s="12" t="s">
        <v>43</v>
      </c>
    </row>
    <row r="6" customFormat="false" ht="15" hidden="false" customHeight="false" outlineLevel="0" collapsed="false">
      <c r="A6" s="11" t="s">
        <v>185</v>
      </c>
      <c r="B6" s="20" t="n">
        <v>30000</v>
      </c>
      <c r="C6" s="20" t="n">
        <v>6000</v>
      </c>
      <c r="D6" s="20" t="n">
        <v>80</v>
      </c>
      <c r="E6" s="31" t="n">
        <f aca="false">IF(OR(B6="",C6="",C6=0),"",B6/C6)</f>
        <v>5</v>
      </c>
      <c r="F6" s="35" t="n">
        <f aca="false">IF(OR(C6="",D6="",D6=0),"",C6/D6)</f>
        <v>75</v>
      </c>
      <c r="G6" s="11" t="s">
        <v>186</v>
      </c>
      <c r="H6" s="12" t="s">
        <v>43</v>
      </c>
    </row>
    <row r="7" customFormat="false" ht="15" hidden="false" customHeight="false" outlineLevel="0" collapsed="false">
      <c r="A7" s="11" t="s">
        <v>185</v>
      </c>
      <c r="B7" s="20" t="n">
        <v>12000</v>
      </c>
      <c r="C7" s="20" t="n">
        <v>2500</v>
      </c>
      <c r="D7" s="20" t="n">
        <v>40</v>
      </c>
      <c r="E7" s="31" t="n">
        <f aca="false">IF(OR(B7="",C7="",C7=0),"",B7/C7)</f>
        <v>4.8</v>
      </c>
      <c r="F7" s="35" t="n">
        <f aca="false">IF(OR(C7="",D7="",D7=0),"",C7/D7)</f>
        <v>62.5</v>
      </c>
      <c r="G7" s="12" t="s">
        <v>187</v>
      </c>
      <c r="H7" s="12" t="s">
        <v>43</v>
      </c>
    </row>
    <row r="8" customFormat="false" ht="15" hidden="false" customHeight="false" outlineLevel="0" collapsed="false">
      <c r="A8" s="13"/>
      <c r="B8" s="23"/>
      <c r="C8" s="23"/>
      <c r="D8" s="23"/>
      <c r="E8" s="31" t="str">
        <f aca="false">IF(OR(B8="",C8="",C8=0),"",B8/C8)</f>
        <v/>
      </c>
      <c r="F8" s="35" t="str">
        <f aca="false">IF(OR(C8="",D8="",D8=0),"",C8/D8)</f>
        <v/>
      </c>
      <c r="G8" s="13"/>
      <c r="H8" s="13"/>
    </row>
    <row r="9" customFormat="false" ht="15" hidden="false" customHeight="false" outlineLevel="0" collapsed="false">
      <c r="A9" s="13"/>
      <c r="B9" s="23"/>
      <c r="C9" s="23"/>
      <c r="D9" s="23"/>
      <c r="E9" s="31" t="str">
        <f aca="false">IF(OR(B9="",C9="",C9=0),"",B9/C9)</f>
        <v/>
      </c>
      <c r="F9" s="35" t="str">
        <f aca="false">IF(OR(C9="",D9="",D9=0),"",C9/D9)</f>
        <v/>
      </c>
      <c r="G9" s="13"/>
      <c r="H9" s="13"/>
    </row>
    <row r="10" customFormat="false" ht="15" hidden="false" customHeight="false" outlineLevel="0" collapsed="false">
      <c r="A10" s="13"/>
      <c r="B10" s="23"/>
      <c r="C10" s="23"/>
      <c r="D10" s="23"/>
      <c r="E10" s="31" t="str">
        <f aca="false">IF(OR(B10="",C10="",C10=0),"",B10/C10)</f>
        <v/>
      </c>
      <c r="F10" s="35" t="str">
        <f aca="false">IF(OR(C10="",D10="",D10=0),"",C10/D10)</f>
        <v/>
      </c>
      <c r="G10" s="13"/>
      <c r="H10" s="13"/>
    </row>
    <row r="11" customFormat="false" ht="15" hidden="false" customHeight="false" outlineLevel="0" collapsed="false">
      <c r="A11" s="19" t="s">
        <v>188</v>
      </c>
      <c r="E11" s="31" t="n">
        <f aca="false">IFERROR(AVERAGE(E5:E10),"")</f>
        <v>11.9774680603949</v>
      </c>
      <c r="F11" s="35" t="n">
        <f aca="false">IFERROR(AVERAGE(F5:F10),"")</f>
        <v>47.7466666666667</v>
      </c>
    </row>
    <row r="13" customFormat="false" ht="19.5" hidden="false" customHeight="true" outlineLevel="0" collapsed="false">
      <c r="A13" s="34" t="s">
        <v>189</v>
      </c>
      <c r="B13" s="34"/>
      <c r="C13" s="34"/>
      <c r="D13" s="34"/>
      <c r="E13" s="34"/>
      <c r="F13" s="34"/>
      <c r="G13" s="34"/>
      <c r="H13" s="34"/>
    </row>
    <row r="14" customFormat="false" ht="15" hidden="false" customHeight="true" outlineLevel="0" collapsed="false">
      <c r="A14" s="17" t="s">
        <v>127</v>
      </c>
      <c r="B14" s="17" t="s">
        <v>190</v>
      </c>
      <c r="C14" s="17" t="s">
        <v>191</v>
      </c>
      <c r="D14" s="17"/>
      <c r="E14" s="17"/>
      <c r="F14" s="17"/>
      <c r="G14" s="17"/>
      <c r="H14" s="17"/>
    </row>
    <row r="15" customFormat="false" ht="15" hidden="false" customHeight="true" outlineLevel="0" collapsed="false">
      <c r="A15" s="19" t="s">
        <v>192</v>
      </c>
      <c r="B15" s="36" t="n">
        <f aca="false">IF(創業計画書!B6="","",創業計画書!B6)</f>
        <v>50000</v>
      </c>
      <c r="C15" s="11" t="s">
        <v>193</v>
      </c>
      <c r="D15" s="11"/>
      <c r="E15" s="11"/>
      <c r="F15" s="11"/>
      <c r="G15" s="11"/>
      <c r="H15" s="11"/>
    </row>
    <row r="16" customFormat="false" ht="15" hidden="false" customHeight="true" outlineLevel="0" collapsed="false">
      <c r="A16" s="32" t="s">
        <v>194</v>
      </c>
      <c r="B16" s="37" t="n">
        <f aca="false">E11</f>
        <v>11.9774680603949</v>
      </c>
      <c r="C16" s="11" t="s">
        <v>195</v>
      </c>
      <c r="D16" s="11"/>
      <c r="E16" s="11"/>
      <c r="F16" s="11"/>
      <c r="G16" s="11"/>
      <c r="H16" s="11"/>
    </row>
    <row r="17" customFormat="false" ht="15" hidden="false" customHeight="true" outlineLevel="0" collapsed="false">
      <c r="A17" s="32" t="s">
        <v>196</v>
      </c>
      <c r="B17" s="38" t="n">
        <f aca="false">F11</f>
        <v>47.7466666666667</v>
      </c>
      <c r="C17" s="11" t="s">
        <v>197</v>
      </c>
      <c r="D17" s="11"/>
      <c r="E17" s="11"/>
      <c r="F17" s="11"/>
      <c r="G17" s="11"/>
      <c r="H17" s="11"/>
    </row>
    <row r="18" customFormat="false" ht="15" hidden="false" customHeight="true" outlineLevel="0" collapsed="false">
      <c r="A18" s="19" t="s">
        <v>198</v>
      </c>
      <c r="B18" s="22" t="n">
        <f aca="false">IF(OR(B15="",B16="",B16=0),"",B15/B16)</f>
        <v>4174.50497449722</v>
      </c>
      <c r="C18" s="10" t="s">
        <v>199</v>
      </c>
      <c r="D18" s="10"/>
      <c r="E18" s="10"/>
      <c r="F18" s="10"/>
      <c r="G18" s="10"/>
      <c r="H18" s="10"/>
    </row>
    <row r="19" customFormat="false" ht="15" hidden="false" customHeight="true" outlineLevel="0" collapsed="false">
      <c r="A19" s="19" t="s">
        <v>200</v>
      </c>
      <c r="B19" s="35" t="n">
        <f aca="false">IF(OR(B18="",B17="",B17=0),"",ROUNDUP(B18/B17,0))</f>
        <v>88</v>
      </c>
      <c r="C19" s="10" t="s">
        <v>201</v>
      </c>
      <c r="D19" s="10"/>
      <c r="E19" s="10"/>
      <c r="F19" s="10"/>
      <c r="G19" s="10"/>
      <c r="H19" s="10"/>
    </row>
    <row r="20" customFormat="false" ht="15" hidden="false" customHeight="true" outlineLevel="0" collapsed="false">
      <c r="A20" s="19" t="s">
        <v>96</v>
      </c>
      <c r="B20" s="39" t="n">
        <f aca="false">IF(創業計画書!F42="","",創業計画書!F42)</f>
        <v>1</v>
      </c>
      <c r="C20" s="11" t="s">
        <v>202</v>
      </c>
      <c r="D20" s="11"/>
      <c r="E20" s="11"/>
      <c r="F20" s="11"/>
      <c r="G20" s="11"/>
      <c r="H20" s="11"/>
    </row>
    <row r="21" customFormat="false" ht="15" hidden="false" customHeight="true" outlineLevel="0" collapsed="false">
      <c r="A21" s="19" t="s">
        <v>203</v>
      </c>
      <c r="B21" s="35" t="n">
        <f aca="false">IF(OR(B19="",B20="",B20=0),"",ROUNDUP(B19/B20,0))</f>
        <v>88</v>
      </c>
      <c r="C21" s="10" t="s">
        <v>204</v>
      </c>
      <c r="D21" s="10"/>
      <c r="E21" s="10"/>
      <c r="F21" s="10"/>
      <c r="G21" s="10"/>
      <c r="H21" s="10"/>
    </row>
    <row r="22" customFormat="false" ht="15" hidden="false" customHeight="true" outlineLevel="0" collapsed="false">
      <c r="A22" s="19" t="s">
        <v>205</v>
      </c>
      <c r="B22" s="35" t="n">
        <f aca="false">IF(B21="","",ROUNDUP(B21/4.3,0))</f>
        <v>21</v>
      </c>
      <c r="C22" s="10" t="s">
        <v>206</v>
      </c>
      <c r="D22" s="10"/>
      <c r="E22" s="10"/>
      <c r="F22" s="10"/>
      <c r="G22" s="10"/>
      <c r="H22" s="10"/>
    </row>
    <row r="24" customFormat="false" ht="19.5" hidden="false" customHeight="true" outlineLevel="0" collapsed="false">
      <c r="A24" s="34" t="s">
        <v>207</v>
      </c>
      <c r="B24" s="34"/>
      <c r="C24" s="34"/>
      <c r="D24" s="34"/>
      <c r="E24" s="34"/>
      <c r="F24" s="34"/>
      <c r="G24" s="34"/>
      <c r="H24" s="34"/>
    </row>
    <row r="25" customFormat="false" ht="15" hidden="false" customHeight="false" outlineLevel="0" collapsed="false">
      <c r="A25" s="17" t="s">
        <v>208</v>
      </c>
      <c r="B25" s="17" t="s">
        <v>56</v>
      </c>
      <c r="C25" s="17" t="s">
        <v>209</v>
      </c>
      <c r="D25" s="17" t="s">
        <v>210</v>
      </c>
      <c r="E25" s="17" t="s">
        <v>211</v>
      </c>
      <c r="F25" s="17" t="s">
        <v>212</v>
      </c>
      <c r="G25" s="17" t="s">
        <v>213</v>
      </c>
      <c r="H25" s="17" t="s">
        <v>214</v>
      </c>
    </row>
    <row r="26" customFormat="false" ht="15" hidden="false" customHeight="false" outlineLevel="0" collapsed="false">
      <c r="A26" s="28" t="s">
        <v>215</v>
      </c>
      <c r="B26" s="12" t="s">
        <v>216</v>
      </c>
      <c r="C26" s="35" t="n">
        <f aca="false">IF($B$20="","",$B$20*4.3*1)</f>
        <v>4.3</v>
      </c>
      <c r="D26" s="40"/>
      <c r="E26" s="23"/>
      <c r="F26" s="20" t="n">
        <v>0</v>
      </c>
      <c r="G26" s="23"/>
      <c r="H26" s="13"/>
    </row>
    <row r="27" customFormat="false" ht="15" hidden="false" customHeight="false" outlineLevel="0" collapsed="false">
      <c r="A27" s="28" t="s">
        <v>217</v>
      </c>
      <c r="B27" s="13"/>
      <c r="C27" s="35" t="n">
        <f aca="false">IF($B$20="","",$B$20*4.3*2)</f>
        <v>8.6</v>
      </c>
      <c r="D27" s="40"/>
      <c r="E27" s="23"/>
      <c r="F27" s="20" t="n">
        <v>0</v>
      </c>
      <c r="G27" s="23"/>
      <c r="H27" s="13"/>
    </row>
    <row r="28" customFormat="false" ht="15" hidden="false" customHeight="false" outlineLevel="0" collapsed="false">
      <c r="A28" s="28" t="s">
        <v>218</v>
      </c>
      <c r="B28" s="13"/>
      <c r="C28" s="35" t="n">
        <f aca="false">IF($B$20="","",$B$20*4.3*3)</f>
        <v>12.9</v>
      </c>
      <c r="D28" s="40"/>
      <c r="E28" s="23"/>
      <c r="F28" s="20" t="n">
        <v>0</v>
      </c>
      <c r="G28" s="23"/>
      <c r="H28" s="13"/>
    </row>
    <row r="29" customFormat="false" ht="15" hidden="false" customHeight="false" outlineLevel="0" collapsed="false">
      <c r="A29" s="28" t="s">
        <v>219</v>
      </c>
      <c r="B29" s="13"/>
      <c r="C29" s="35" t="n">
        <f aca="false">IF($B$20="","",$B$20*4.3*4)</f>
        <v>17.2</v>
      </c>
      <c r="D29" s="40"/>
      <c r="E29" s="23"/>
      <c r="F29" s="20" t="n">
        <v>0</v>
      </c>
      <c r="G29" s="23"/>
      <c r="H29" s="13"/>
    </row>
    <row r="30" customFormat="false" ht="15" hidden="false" customHeight="false" outlineLevel="0" collapsed="false">
      <c r="A30" s="28" t="s">
        <v>220</v>
      </c>
      <c r="B30" s="13"/>
      <c r="C30" s="35" t="n">
        <f aca="false">IF($B$20="","",$B$20*4.3*5)</f>
        <v>21.5</v>
      </c>
      <c r="D30" s="40"/>
      <c r="E30" s="23"/>
      <c r="F30" s="20" t="n">
        <v>0</v>
      </c>
      <c r="G30" s="23"/>
      <c r="H30" s="13"/>
    </row>
    <row r="31" customFormat="false" ht="15" hidden="false" customHeight="false" outlineLevel="0" collapsed="false">
      <c r="A31" s="28" t="s">
        <v>221</v>
      </c>
      <c r="B31" s="13"/>
      <c r="C31" s="35" t="n">
        <f aca="false">IF($B$20="","",$B$20*4.3*6)</f>
        <v>25.8</v>
      </c>
      <c r="D31" s="40"/>
      <c r="E31" s="23"/>
      <c r="F31" s="20" t="n">
        <v>0</v>
      </c>
      <c r="G31" s="23"/>
      <c r="H31" s="13"/>
    </row>
    <row r="32" customFormat="false" ht="15" hidden="false" customHeight="false" outlineLevel="0" collapsed="false">
      <c r="A32" s="28" t="s">
        <v>222</v>
      </c>
      <c r="B32" s="13"/>
      <c r="C32" s="35" t="n">
        <f aca="false">IF($B$20="","",$B$20*4.3*7)</f>
        <v>30.1</v>
      </c>
      <c r="D32" s="40"/>
      <c r="E32" s="23"/>
      <c r="F32" s="23"/>
      <c r="G32" s="23"/>
      <c r="H32" s="13"/>
    </row>
    <row r="33" customFormat="false" ht="15" hidden="false" customHeight="false" outlineLevel="0" collapsed="false">
      <c r="A33" s="28" t="s">
        <v>223</v>
      </c>
      <c r="B33" s="13"/>
      <c r="C33" s="35" t="n">
        <f aca="false">IF($B$20="","",$B$20*4.3*8)</f>
        <v>34.4</v>
      </c>
      <c r="D33" s="40"/>
      <c r="E33" s="23"/>
      <c r="F33" s="23"/>
      <c r="G33" s="23"/>
      <c r="H33" s="13"/>
    </row>
    <row r="34" customFormat="false" ht="15" hidden="false" customHeight="false" outlineLevel="0" collapsed="false">
      <c r="A34" s="28" t="s">
        <v>224</v>
      </c>
      <c r="B34" s="13"/>
      <c r="C34" s="35" t="n">
        <f aca="false">IF($B$20="","",$B$20*4.3*9)</f>
        <v>38.7</v>
      </c>
      <c r="D34" s="40"/>
      <c r="E34" s="23"/>
      <c r="F34" s="23"/>
      <c r="G34" s="23"/>
      <c r="H34" s="13"/>
    </row>
    <row r="35" customFormat="false" ht="15" hidden="false" customHeight="false" outlineLevel="0" collapsed="false">
      <c r="A35" s="28" t="s">
        <v>225</v>
      </c>
      <c r="B35" s="13"/>
      <c r="C35" s="35" t="n">
        <f aca="false">IF($B$20="","",$B$20*4.3*10)</f>
        <v>43</v>
      </c>
      <c r="D35" s="40"/>
      <c r="E35" s="23"/>
      <c r="F35" s="23"/>
      <c r="G35" s="23"/>
      <c r="H35" s="13"/>
    </row>
    <row r="36" customFormat="false" ht="15" hidden="false" customHeight="false" outlineLevel="0" collapsed="false">
      <c r="A36" s="28" t="s">
        <v>226</v>
      </c>
      <c r="B36" s="13"/>
      <c r="C36" s="35" t="n">
        <f aca="false">IF($B$20="","",$B$20*4.3*11)</f>
        <v>47.3</v>
      </c>
      <c r="D36" s="40"/>
      <c r="E36" s="23"/>
      <c r="F36" s="23"/>
      <c r="G36" s="23"/>
      <c r="H36" s="13"/>
    </row>
    <row r="37" customFormat="false" ht="15" hidden="false" customHeight="false" outlineLevel="0" collapsed="false">
      <c r="A37" s="28" t="s">
        <v>227</v>
      </c>
      <c r="B37" s="13"/>
      <c r="C37" s="35" t="n">
        <f aca="false">IF($B$20="","",$B$20*4.3*12)</f>
        <v>51.6</v>
      </c>
      <c r="D37" s="40"/>
      <c r="E37" s="23"/>
      <c r="F37" s="23"/>
      <c r="G37" s="23"/>
      <c r="H37" s="13"/>
    </row>
  </sheetData>
  <mergeCells count="12">
    <mergeCell ref="A3:H3"/>
    <mergeCell ref="A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3" min="12" style="0" width="9"/>
    <col collapsed="false" customWidth="true" hidden="false" outlineLevel="0" max="14" min="14" style="0" width="26"/>
    <col collapsed="false" customWidth="true" hidden="false" outlineLevel="0" max="15" min="15" style="0" width="12"/>
  </cols>
  <sheetData>
    <row r="1" customFormat="false" ht="16.4" hidden="false" customHeight="false" outlineLevel="0" collapsed="false">
      <c r="A1" s="41" t="s">
        <v>228</v>
      </c>
    </row>
    <row r="3" customFormat="false" ht="15" hidden="false" customHeight="false" outlineLevel="0" collapsed="false">
      <c r="A3" s="17" t="s">
        <v>70</v>
      </c>
      <c r="B3" s="18" t="s">
        <v>71</v>
      </c>
      <c r="C3" s="17" t="s">
        <v>72</v>
      </c>
      <c r="D3" s="17" t="s">
        <v>75</v>
      </c>
      <c r="E3" s="17" t="s">
        <v>229</v>
      </c>
      <c r="F3" s="18" t="s">
        <v>230</v>
      </c>
      <c r="G3" s="17" t="s">
        <v>73</v>
      </c>
      <c r="H3" s="17" t="s">
        <v>231</v>
      </c>
      <c r="I3" s="17" t="s">
        <v>232</v>
      </c>
      <c r="J3" s="18" t="s">
        <v>233</v>
      </c>
      <c r="K3" s="17" t="s">
        <v>234</v>
      </c>
      <c r="L3" s="17" t="s">
        <v>235</v>
      </c>
      <c r="M3" s="17" t="s">
        <v>236</v>
      </c>
      <c r="N3" s="17" t="s">
        <v>237</v>
      </c>
      <c r="O3" s="17" t="s">
        <v>182</v>
      </c>
    </row>
    <row r="4" customFormat="false" ht="15" hidden="false" customHeight="false" outlineLevel="0" collapsed="false">
      <c r="A4" s="11" t="s">
        <v>78</v>
      </c>
      <c r="B4" s="12" t="s">
        <v>79</v>
      </c>
      <c r="C4" s="20" t="n">
        <v>6000</v>
      </c>
      <c r="D4" s="11" t="s">
        <v>80</v>
      </c>
      <c r="E4" s="11" t="s">
        <v>238</v>
      </c>
      <c r="F4" s="11" t="n">
        <v>85</v>
      </c>
      <c r="G4" s="21" t="n">
        <v>0.7</v>
      </c>
      <c r="H4" s="22" t="n">
        <f aca="false">IF(OR(C4="",NOT(ISNUMBER(G4))),"",C4*G4)</f>
        <v>4200</v>
      </c>
      <c r="I4" s="11" t="s">
        <v>239</v>
      </c>
      <c r="J4" s="11" t="s">
        <v>240</v>
      </c>
      <c r="K4" s="11" t="s">
        <v>241</v>
      </c>
      <c r="L4" s="11" t="s">
        <v>242</v>
      </c>
      <c r="M4" s="12"/>
      <c r="N4" s="11"/>
    </row>
    <row r="5" customFormat="false" ht="15" hidden="false" customHeight="false" outlineLevel="0" collapsed="false">
      <c r="A5" s="11" t="s">
        <v>82</v>
      </c>
      <c r="B5" s="12" t="s">
        <v>83</v>
      </c>
      <c r="C5" s="20" t="n">
        <v>4000</v>
      </c>
      <c r="D5" s="11" t="s">
        <v>84</v>
      </c>
      <c r="E5" s="11" t="s">
        <v>238</v>
      </c>
      <c r="F5" s="11" t="s">
        <v>243</v>
      </c>
      <c r="G5" s="21" t="n">
        <v>0.8</v>
      </c>
      <c r="H5" s="22" t="n">
        <f aca="false">IF(OR(C5="",NOT(ISNUMBER(G5))),"",C5*G5)</f>
        <v>3200</v>
      </c>
      <c r="I5" s="11" t="s">
        <v>244</v>
      </c>
      <c r="J5" s="11" t="s">
        <v>245</v>
      </c>
      <c r="K5" s="11" t="s">
        <v>241</v>
      </c>
      <c r="L5" s="11" t="s">
        <v>246</v>
      </c>
      <c r="M5" s="12"/>
      <c r="N5" s="11"/>
    </row>
    <row r="6" customFormat="false" ht="52.2" hidden="false" customHeight="false" outlineLevel="0" collapsed="false">
      <c r="A6" s="11" t="s">
        <v>247</v>
      </c>
      <c r="B6" s="12" t="s">
        <v>79</v>
      </c>
      <c r="C6" s="20" t="n">
        <v>1500</v>
      </c>
      <c r="D6" s="11" t="s">
        <v>248</v>
      </c>
      <c r="E6" s="11" t="s">
        <v>249</v>
      </c>
      <c r="F6" s="11" t="s">
        <v>243</v>
      </c>
      <c r="G6" s="11" t="s">
        <v>243</v>
      </c>
      <c r="H6" s="22" t="str">
        <f aca="false">IF(OR(C6="",NOT(ISNUMBER(G6))),"",C6*G6)</f>
        <v/>
      </c>
      <c r="I6" s="11"/>
      <c r="J6" s="11" t="s">
        <v>250</v>
      </c>
      <c r="K6" s="11" t="s">
        <v>251</v>
      </c>
      <c r="L6" s="11"/>
      <c r="M6" s="11" t="s">
        <v>252</v>
      </c>
      <c r="N6" s="11"/>
    </row>
    <row r="7" customFormat="false" ht="15" hidden="false" customHeight="false" outlineLevel="0" collapsed="false">
      <c r="A7" s="13"/>
      <c r="B7" s="13"/>
      <c r="C7" s="23"/>
      <c r="D7" s="13"/>
      <c r="E7" s="13"/>
      <c r="F7" s="13"/>
      <c r="G7" s="13"/>
      <c r="H7" s="22" t="str">
        <f aca="false">IF(OR(C7="",NOT(ISNUMBER(G7))),"",C7*G7)</f>
        <v/>
      </c>
      <c r="I7" s="13"/>
      <c r="J7" s="13"/>
      <c r="K7" s="13"/>
      <c r="L7" s="13"/>
      <c r="M7" s="13"/>
      <c r="N7" s="13"/>
      <c r="O7" s="13"/>
    </row>
    <row r="8" customFormat="false" ht="15" hidden="false" customHeight="false" outlineLevel="0" collapsed="false">
      <c r="A8" s="13"/>
      <c r="B8" s="13"/>
      <c r="C8" s="23"/>
      <c r="D8" s="13"/>
      <c r="E8" s="13"/>
      <c r="F8" s="13"/>
      <c r="G8" s="13"/>
      <c r="H8" s="22" t="str">
        <f aca="false">IF(OR(C8="",NOT(ISNUMBER(G8))),"",C8*G8)</f>
        <v/>
      </c>
      <c r="I8" s="13"/>
      <c r="J8" s="13"/>
      <c r="K8" s="13"/>
      <c r="L8" s="13"/>
      <c r="M8" s="13"/>
      <c r="N8" s="13"/>
      <c r="O8" s="13"/>
    </row>
    <row r="9" customFormat="false" ht="15" hidden="false" customHeight="false" outlineLevel="0" collapsed="false">
      <c r="A9" s="13"/>
      <c r="B9" s="13"/>
      <c r="C9" s="23"/>
      <c r="D9" s="13"/>
      <c r="E9" s="13"/>
      <c r="F9" s="13"/>
      <c r="G9" s="13"/>
      <c r="H9" s="22" t="str">
        <f aca="false">IF(OR(C9="",NOT(ISNUMBER(G9))),"",C9*G9)</f>
        <v/>
      </c>
      <c r="I9" s="13"/>
      <c r="J9" s="13"/>
      <c r="K9" s="13"/>
      <c r="L9" s="13"/>
      <c r="M9" s="13"/>
      <c r="N9" s="13"/>
      <c r="O9" s="13"/>
    </row>
    <row r="10" customFormat="false" ht="15" hidden="false" customHeight="false" outlineLevel="0" collapsed="false">
      <c r="A10" s="13"/>
      <c r="B10" s="13"/>
      <c r="C10" s="23"/>
      <c r="D10" s="13"/>
      <c r="E10" s="13"/>
      <c r="F10" s="13"/>
      <c r="G10" s="13"/>
      <c r="H10" s="22" t="str">
        <f aca="false">IF(OR(C10="",NOT(ISNUMBER(G10))),"",C10*G10)</f>
        <v/>
      </c>
      <c r="I10" s="13"/>
      <c r="J10" s="13"/>
      <c r="K10" s="13"/>
      <c r="L10" s="13"/>
      <c r="M10" s="13"/>
      <c r="N10" s="13"/>
      <c r="O10" s="13"/>
    </row>
    <row r="11" customFormat="false" ht="15" hidden="false" customHeight="false" outlineLevel="0" collapsed="false">
      <c r="A11" s="13"/>
      <c r="B11" s="13"/>
      <c r="C11" s="23"/>
      <c r="D11" s="13"/>
      <c r="E11" s="13"/>
      <c r="F11" s="13"/>
      <c r="G11" s="13"/>
      <c r="H11" s="22" t="str">
        <f aca="false">IF(OR(C11="",NOT(ISNUMBER(G11))),"",C11*G11)</f>
        <v/>
      </c>
      <c r="I11" s="13"/>
      <c r="J11" s="13"/>
      <c r="K11" s="13"/>
      <c r="L11" s="13"/>
      <c r="M11" s="13"/>
      <c r="N11" s="13"/>
      <c r="O11" s="13"/>
    </row>
  </sheetData>
  <dataValidations count="4">
    <dataValidation allowBlank="true" errorStyle="stop" operator="between" showDropDown="false" showErrorMessage="false" showInputMessage="false" sqref="E4:E200" type="list">
      <formula1>"近い,中,遠い"</formula1>
      <formula2>0</formula2>
    </dataValidation>
    <dataValidation allowBlank="true" errorStyle="stop" operator="between" showDropDown="false" showErrorMessage="false" showInputMessage="false" sqref="I4:I200" type="list">
      <formula1>"今書ける（所有）,今書ける（契約中）,体験する計画を立てられる,体験する気がない"</formula1>
      <formula2>0</formula2>
    </dataValidation>
    <dataValidation allowBlank="true" errorStyle="stop" operator="between" showDropDown="false" showErrorMessage="false" showInputMessage="false" sqref="L4:L200" type="list">
      <formula1>"候補,保留,落選"</formula1>
      <formula2>0</formula2>
    </dataValidation>
    <dataValidation allowBlank="true" errorStyle="stop" operator="between" showDropDown="false" showErrorMessage="false" showInputMessage="false" sqref="M4:M200" type="list">
      <formula1>"主力,サブ,"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"/>
    <col collapsed="false" customWidth="true" hidden="false" outlineLevel="0" max="4" min="3" style="0" width="8"/>
    <col collapsed="false" customWidth="true" hidden="false" outlineLevel="0" max="14" min="5" style="0" width="6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20"/>
    <col collapsed="false" customWidth="true" hidden="false" outlineLevel="0" max="22" min="22" style="0" width="11"/>
    <col collapsed="false" customWidth="true" hidden="false" outlineLevel="0" max="23" min="23" style="0" width="30"/>
  </cols>
  <sheetData>
    <row r="1" customFormat="false" ht="16.4" hidden="false" customHeight="false" outlineLevel="0" collapsed="false">
      <c r="A1" s="42" t="s">
        <v>253</v>
      </c>
    </row>
    <row r="3" customFormat="false" ht="39.55" hidden="false" customHeight="false" outlineLevel="0" collapsed="false">
      <c r="A3" s="18" t="s">
        <v>254</v>
      </c>
      <c r="B3" s="17" t="s">
        <v>255</v>
      </c>
      <c r="C3" s="18" t="s">
        <v>256</v>
      </c>
      <c r="D3" s="17" t="s">
        <v>257</v>
      </c>
      <c r="E3" s="18" t="s">
        <v>258</v>
      </c>
      <c r="F3" s="18" t="s">
        <v>259</v>
      </c>
      <c r="G3" s="18" t="s">
        <v>260</v>
      </c>
      <c r="H3" s="18" t="s">
        <v>261</v>
      </c>
      <c r="I3" s="18" t="s">
        <v>262</v>
      </c>
      <c r="J3" s="18" t="s">
        <v>263</v>
      </c>
      <c r="K3" s="18" t="s">
        <v>264</v>
      </c>
      <c r="L3" s="18" t="s">
        <v>265</v>
      </c>
      <c r="M3" s="18" t="s">
        <v>266</v>
      </c>
      <c r="N3" s="18" t="s">
        <v>267</v>
      </c>
      <c r="O3" s="18" t="s">
        <v>268</v>
      </c>
      <c r="P3" s="17" t="s">
        <v>269</v>
      </c>
      <c r="Q3" s="17" t="s">
        <v>270</v>
      </c>
      <c r="R3" s="17" t="s">
        <v>271</v>
      </c>
      <c r="S3" s="17" t="s">
        <v>272</v>
      </c>
      <c r="T3" s="17" t="s">
        <v>273</v>
      </c>
      <c r="U3" s="17" t="s">
        <v>274</v>
      </c>
      <c r="V3" s="17" t="s">
        <v>182</v>
      </c>
      <c r="W3" s="17" t="s">
        <v>275</v>
      </c>
    </row>
    <row r="4" customFormat="false" ht="15" hidden="false" customHeight="false" outlineLevel="0" collapsed="false">
      <c r="A4" s="11" t="s">
        <v>276</v>
      </c>
      <c r="B4" s="20" t="n">
        <v>320</v>
      </c>
      <c r="C4" s="20" t="n">
        <v>180</v>
      </c>
      <c r="D4" s="11" t="s">
        <v>277</v>
      </c>
      <c r="E4" s="12" t="n">
        <v>45</v>
      </c>
      <c r="F4" s="12" t="n">
        <v>38</v>
      </c>
      <c r="G4" s="12" t="n">
        <v>12</v>
      </c>
      <c r="H4" s="12" t="n">
        <v>9</v>
      </c>
      <c r="I4" s="12" t="n">
        <v>60</v>
      </c>
      <c r="J4" s="12" t="n">
        <v>8</v>
      </c>
      <c r="K4" s="12" t="n">
        <v>30</v>
      </c>
      <c r="L4" s="12" t="n">
        <v>25</v>
      </c>
      <c r="M4" s="12" t="n">
        <v>15</v>
      </c>
      <c r="N4" s="12" t="n">
        <v>7</v>
      </c>
      <c r="O4" s="31" t="n">
        <f aca="false">IFERROR(AVERAGE(E4:N4),"")</f>
        <v>24.9</v>
      </c>
      <c r="P4" s="11" t="n">
        <v>3</v>
      </c>
      <c r="Q4" s="11" t="s">
        <v>278</v>
      </c>
      <c r="R4" s="12" t="s">
        <v>279</v>
      </c>
      <c r="S4" s="12" t="s">
        <v>280</v>
      </c>
      <c r="T4" s="11" t="s">
        <v>281</v>
      </c>
      <c r="U4" s="11" t="s">
        <v>282</v>
      </c>
      <c r="V4" s="12" t="s">
        <v>43</v>
      </c>
      <c r="W4" s="12" t="s">
        <v>283</v>
      </c>
    </row>
    <row r="5" customFormat="false" ht="15" hidden="false" customHeight="false" outlineLevel="0" collapsed="false">
      <c r="A5" s="11" t="s">
        <v>284</v>
      </c>
      <c r="B5" s="20" t="n">
        <v>110</v>
      </c>
      <c r="C5" s="20" t="n">
        <v>150</v>
      </c>
      <c r="D5" s="11" t="s">
        <v>285</v>
      </c>
      <c r="E5" s="12" t="n">
        <v>45</v>
      </c>
      <c r="F5" s="12" t="n">
        <v>12</v>
      </c>
      <c r="G5" s="12" t="n">
        <v>9</v>
      </c>
      <c r="H5" s="12" t="n">
        <v>38</v>
      </c>
      <c r="I5" s="12" t="n">
        <v>8</v>
      </c>
      <c r="J5" s="12" t="n">
        <v>30</v>
      </c>
      <c r="K5" s="12" t="n">
        <v>25</v>
      </c>
      <c r="L5" s="12" t="n">
        <v>15</v>
      </c>
      <c r="M5" s="12" t="n">
        <v>7</v>
      </c>
      <c r="N5" s="12" t="n">
        <v>20</v>
      </c>
      <c r="O5" s="31" t="n">
        <f aca="false">IFERROR(AVERAGE(E5:N5),"")</f>
        <v>20.9</v>
      </c>
      <c r="P5" s="11" t="n">
        <v>4</v>
      </c>
      <c r="Q5" s="11" t="s">
        <v>286</v>
      </c>
      <c r="R5" s="12" t="s">
        <v>287</v>
      </c>
      <c r="S5" s="12" t="s">
        <v>280</v>
      </c>
      <c r="T5" s="11" t="s">
        <v>281</v>
      </c>
      <c r="U5" s="11" t="s">
        <v>282</v>
      </c>
      <c r="V5" s="12" t="s">
        <v>43</v>
      </c>
      <c r="W5" s="11" t="s">
        <v>288</v>
      </c>
    </row>
    <row r="6" customFormat="false" ht="15" hidden="false" customHeight="false" outlineLevel="0" collapsed="false">
      <c r="A6" s="11" t="s">
        <v>289</v>
      </c>
      <c r="B6" s="20" t="n">
        <v>90</v>
      </c>
      <c r="C6" s="20" t="n">
        <v>60</v>
      </c>
      <c r="D6" s="11" t="s">
        <v>290</v>
      </c>
      <c r="E6" s="12" t="n">
        <v>9</v>
      </c>
      <c r="F6" s="12" t="n">
        <v>7</v>
      </c>
      <c r="G6" s="12" t="n">
        <v>52</v>
      </c>
      <c r="H6" s="12" t="n">
        <v>12</v>
      </c>
      <c r="I6" s="12" t="n">
        <v>8</v>
      </c>
      <c r="J6" s="12" t="n">
        <v>15</v>
      </c>
      <c r="K6" s="12" t="n">
        <v>30</v>
      </c>
      <c r="L6" s="12" t="n">
        <v>6</v>
      </c>
      <c r="M6" s="12" t="n">
        <v>11</v>
      </c>
      <c r="N6" s="12" t="n">
        <v>28</v>
      </c>
      <c r="O6" s="31" t="n">
        <f aca="false">IFERROR(AVERAGE(E6:N6),"")</f>
        <v>17.8</v>
      </c>
      <c r="P6" s="11" t="n">
        <v>6</v>
      </c>
      <c r="Q6" s="11" t="s">
        <v>291</v>
      </c>
      <c r="R6" s="12" t="s">
        <v>287</v>
      </c>
      <c r="S6" s="12" t="s">
        <v>280</v>
      </c>
      <c r="T6" s="11" t="s">
        <v>292</v>
      </c>
      <c r="U6" s="11" t="s">
        <v>293</v>
      </c>
      <c r="V6" s="12" t="s">
        <v>43</v>
      </c>
      <c r="W6" s="11" t="s">
        <v>294</v>
      </c>
    </row>
    <row r="7" customFormat="false" ht="15" hidden="false" customHeight="false" outlineLevel="0" collapsed="false">
      <c r="A7" s="13"/>
      <c r="B7" s="23"/>
      <c r="C7" s="2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31" t="str">
        <f aca="false">IFERROR(AVERAGE(E7:N7),"")</f>
        <v/>
      </c>
      <c r="P7" s="13"/>
      <c r="Q7" s="13"/>
      <c r="R7" s="13"/>
      <c r="S7" s="13"/>
      <c r="T7" s="13"/>
      <c r="U7" s="13"/>
      <c r="V7" s="13"/>
      <c r="W7" s="13"/>
    </row>
    <row r="8" customFormat="false" ht="15" hidden="false" customHeight="false" outlineLevel="0" collapsed="false">
      <c r="A8" s="13"/>
      <c r="B8" s="23"/>
      <c r="C8" s="2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31" t="str">
        <f aca="false">IFERROR(AVERAGE(E8:N8),"")</f>
        <v/>
      </c>
      <c r="P8" s="13"/>
      <c r="Q8" s="13"/>
      <c r="R8" s="13"/>
      <c r="S8" s="13"/>
      <c r="T8" s="13"/>
      <c r="U8" s="13"/>
      <c r="V8" s="13"/>
      <c r="W8" s="13"/>
    </row>
    <row r="9" customFormat="false" ht="15" hidden="false" customHeight="false" outlineLevel="0" collapsed="false">
      <c r="A9" s="13"/>
      <c r="B9" s="23"/>
      <c r="C9" s="2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31" t="str">
        <f aca="false">IFERROR(AVERAGE(E9:N9),"")</f>
        <v/>
      </c>
      <c r="P9" s="13"/>
      <c r="Q9" s="13"/>
      <c r="R9" s="13"/>
      <c r="S9" s="13"/>
      <c r="T9" s="13"/>
      <c r="U9" s="13"/>
      <c r="V9" s="13"/>
      <c r="W9" s="13"/>
    </row>
    <row r="10" customFormat="false" ht="15" hidden="false" customHeight="false" outlineLevel="0" collapsed="false">
      <c r="A10" s="13"/>
      <c r="B10" s="23"/>
      <c r="C10" s="2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31" t="str">
        <f aca="false">IFERROR(AVERAGE(E10:N10),"")</f>
        <v/>
      </c>
      <c r="P10" s="13"/>
      <c r="Q10" s="13"/>
      <c r="R10" s="13"/>
      <c r="S10" s="13"/>
      <c r="T10" s="13"/>
      <c r="U10" s="13"/>
      <c r="V10" s="13"/>
      <c r="W10" s="13"/>
    </row>
    <row r="11" customFormat="false" ht="15" hidden="false" customHeight="false" outlineLevel="0" collapsed="false">
      <c r="A11" s="13"/>
      <c r="B11" s="23"/>
      <c r="C11" s="2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31" t="str">
        <f aca="false">IFERROR(AVERAGE(E11:N11),"")</f>
        <v/>
      </c>
      <c r="P11" s="13"/>
      <c r="Q11" s="13"/>
      <c r="R11" s="13"/>
      <c r="S11" s="13"/>
      <c r="T11" s="13"/>
      <c r="U11" s="13"/>
      <c r="V11" s="13"/>
      <c r="W11" s="13"/>
    </row>
    <row r="12" customFormat="false" ht="15" hidden="false" customHeight="false" outlineLevel="0" collapsed="false">
      <c r="A12" s="13"/>
      <c r="B12" s="23"/>
      <c r="C12" s="2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31" t="str">
        <f aca="false">IFERROR(AVERAGE(E12:N12),"")</f>
        <v/>
      </c>
      <c r="P12" s="13"/>
      <c r="Q12" s="13"/>
      <c r="R12" s="13"/>
      <c r="S12" s="13"/>
      <c r="T12" s="13"/>
      <c r="U12" s="13"/>
      <c r="V12" s="13"/>
      <c r="W12" s="13"/>
    </row>
    <row r="13" customFormat="false" ht="15" hidden="false" customHeight="false" outlineLevel="0" collapsed="false">
      <c r="A13" s="13"/>
      <c r="B13" s="23"/>
      <c r="C13" s="2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31" t="str">
        <f aca="false">IFERROR(AVERAGE(E13:N13),"")</f>
        <v/>
      </c>
      <c r="P13" s="13"/>
      <c r="Q13" s="13"/>
      <c r="R13" s="13"/>
      <c r="S13" s="13"/>
      <c r="T13" s="13"/>
      <c r="U13" s="13"/>
      <c r="V13" s="13"/>
      <c r="W13" s="13"/>
    </row>
    <row r="14" customFormat="false" ht="15" hidden="false" customHeight="false" outlineLevel="0" collapsed="false">
      <c r="A14" s="13"/>
      <c r="B14" s="23"/>
      <c r="C14" s="2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31" t="str">
        <f aca="false">IFERROR(AVERAGE(E14:N14),"")</f>
        <v/>
      </c>
      <c r="P14" s="13"/>
      <c r="Q14" s="13"/>
      <c r="R14" s="13"/>
      <c r="S14" s="13"/>
      <c r="T14" s="13"/>
      <c r="U14" s="13"/>
      <c r="V14" s="13"/>
      <c r="W14" s="13"/>
    </row>
    <row r="15" customFormat="false" ht="15" hidden="false" customHeight="false" outlineLevel="0" collapsed="false">
      <c r="A15" s="13"/>
      <c r="B15" s="23"/>
      <c r="C15" s="2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31" t="str">
        <f aca="false">IFERROR(AVERAGE(E15:N15),"")</f>
        <v/>
      </c>
      <c r="P15" s="13"/>
      <c r="Q15" s="13"/>
      <c r="R15" s="13"/>
      <c r="S15" s="13"/>
      <c r="T15" s="13"/>
      <c r="U15" s="13"/>
      <c r="V15" s="13"/>
      <c r="W15" s="13"/>
    </row>
    <row r="16" customFormat="false" ht="15" hidden="false" customHeight="false" outlineLevel="0" collapsed="false">
      <c r="A16" s="13"/>
      <c r="B16" s="23"/>
      <c r="C16" s="2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31" t="str">
        <f aca="false">IFERROR(AVERAGE(E16:N16),"")</f>
        <v/>
      </c>
      <c r="P16" s="13"/>
      <c r="Q16" s="13"/>
      <c r="R16" s="13"/>
      <c r="S16" s="13"/>
      <c r="T16" s="13"/>
      <c r="U16" s="13"/>
      <c r="V16" s="13"/>
      <c r="W16" s="13"/>
    </row>
    <row r="17" customFormat="false" ht="15" hidden="false" customHeight="false" outlineLevel="0" collapsed="false">
      <c r="A17" s="13"/>
      <c r="B17" s="23"/>
      <c r="C17" s="2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31" t="str">
        <f aca="false">IFERROR(AVERAGE(E17:N17),"")</f>
        <v/>
      </c>
      <c r="P17" s="13"/>
      <c r="Q17" s="13"/>
      <c r="R17" s="13"/>
      <c r="S17" s="13"/>
      <c r="T17" s="13"/>
      <c r="U17" s="13"/>
      <c r="V17" s="13"/>
      <c r="W17" s="13"/>
    </row>
    <row r="18" customFormat="false" ht="15" hidden="false" customHeight="false" outlineLevel="0" collapsed="false">
      <c r="A18" s="13"/>
      <c r="B18" s="23"/>
      <c r="C18" s="2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31" t="str">
        <f aca="false">IFERROR(AVERAGE(E18:N18),"")</f>
        <v/>
      </c>
      <c r="P18" s="13"/>
      <c r="Q18" s="13"/>
      <c r="R18" s="13"/>
      <c r="S18" s="13"/>
      <c r="T18" s="13"/>
      <c r="U18" s="13"/>
      <c r="V18" s="13"/>
      <c r="W18" s="13"/>
    </row>
  </sheetData>
  <conditionalFormatting sqref="E4:O68">
    <cfRule type="expression" priority="2" aboveAverage="0" equalAverage="0" bottom="0" percent="0" rank="0" text="" dxfId="0">
      <formula>AND(E4&lt;&gt;"",E4&lt;10)</formula>
    </cfRule>
    <cfRule type="expression" priority="3" aboveAverage="0" equalAverage="0" bottom="0" percent="0" rank="0" text="" dxfId="1">
      <formula>AND(E4&lt;&gt;"",E4&lt;20)</formula>
    </cfRule>
  </conditionalFormatting>
  <dataValidations count="3">
    <dataValidation allowBlank="true" errorStyle="stop" operator="between" showDropDown="false" showErrorMessage="false" showInputMessage="false" sqref="R4:R500" type="list">
      <formula1>"Buy,Do,Go,Know"</formula1>
      <formula2>0</formula2>
    </dataValidation>
    <dataValidation allowBlank="true" errorStyle="stop" operator="between" showDropDown="false" showErrorMessage="false" showInputMessage="false" sqref="S4:S500" type="list">
      <formula1>"Yes,No"</formula1>
      <formula2>0</formula2>
    </dataValidation>
    <dataValidation allowBlank="true" errorStyle="stop" operator="between" showDropDown="false" showErrorMessage="false" showInputMessage="false" sqref="T4:T500" type="list">
      <formula1>"成約,集客,橋渡し"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26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0" min="10" style="0" width="24"/>
    <col collapsed="false" customWidth="true" hidden="false" outlineLevel="0" max="13" min="11" style="0" width="9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7" min="16" style="0" width="8"/>
    <col collapsed="false" customWidth="true" hidden="false" outlineLevel="0" max="18" min="18" style="0" width="11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10"/>
    <col collapsed="false" customWidth="true" hidden="false" outlineLevel="0" max="22" min="22" style="0" width="11"/>
    <col collapsed="false" customWidth="true" hidden="false" outlineLevel="0" max="23" min="23" style="0" width="20"/>
    <col collapsed="false" customWidth="true" hidden="false" outlineLevel="0" max="24" min="24" style="0" width="9"/>
    <col collapsed="false" customWidth="true" hidden="false" outlineLevel="0" max="25" min="25" style="0" width="11"/>
  </cols>
  <sheetData>
    <row r="1" customFormat="false" ht="16.4" hidden="false" customHeight="false" outlineLevel="0" collapsed="false">
      <c r="A1" s="41" t="s">
        <v>295</v>
      </c>
    </row>
    <row r="3" customFormat="false" ht="26.85" hidden="false" customHeight="false" outlineLevel="0" collapsed="false">
      <c r="A3" s="17" t="s">
        <v>296</v>
      </c>
      <c r="B3" s="17" t="s">
        <v>297</v>
      </c>
      <c r="C3" s="17" t="s">
        <v>298</v>
      </c>
      <c r="D3" s="17" t="s">
        <v>273</v>
      </c>
      <c r="E3" s="17" t="s">
        <v>299</v>
      </c>
      <c r="F3" s="17" t="s">
        <v>300</v>
      </c>
      <c r="G3" s="17" t="s">
        <v>301</v>
      </c>
      <c r="H3" s="17" t="s">
        <v>302</v>
      </c>
      <c r="I3" s="17" t="s">
        <v>303</v>
      </c>
      <c r="J3" s="18" t="s">
        <v>304</v>
      </c>
      <c r="K3" s="17" t="s">
        <v>305</v>
      </c>
      <c r="L3" s="17" t="s">
        <v>306</v>
      </c>
      <c r="M3" s="17" t="s">
        <v>307</v>
      </c>
      <c r="N3" s="18" t="s">
        <v>308</v>
      </c>
      <c r="O3" s="17" t="s">
        <v>309</v>
      </c>
      <c r="P3" s="17" t="s">
        <v>310</v>
      </c>
      <c r="Q3" s="17" t="s">
        <v>311</v>
      </c>
      <c r="R3" s="17" t="s">
        <v>312</v>
      </c>
      <c r="S3" s="17" t="s">
        <v>313</v>
      </c>
      <c r="T3" s="17" t="s">
        <v>314</v>
      </c>
      <c r="U3" s="17" t="s">
        <v>49</v>
      </c>
      <c r="V3" s="17" t="s">
        <v>315</v>
      </c>
      <c r="W3" s="17" t="s">
        <v>316</v>
      </c>
      <c r="X3" s="17" t="s">
        <v>317</v>
      </c>
      <c r="Y3" s="18" t="s">
        <v>318</v>
      </c>
    </row>
    <row r="4" customFormat="false" ht="26.85" hidden="false" customHeight="false" outlineLevel="0" collapsed="false">
      <c r="A4" s="11" t="n">
        <v>1</v>
      </c>
      <c r="B4" s="11" t="s">
        <v>276</v>
      </c>
      <c r="C4" s="11" t="s">
        <v>319</v>
      </c>
      <c r="D4" s="11" t="s">
        <v>281</v>
      </c>
      <c r="E4" s="11" t="s">
        <v>320</v>
      </c>
      <c r="F4" s="11"/>
      <c r="G4" s="11" t="n">
        <v>1</v>
      </c>
      <c r="H4" s="11" t="s">
        <v>321</v>
      </c>
      <c r="I4" s="12" t="s">
        <v>322</v>
      </c>
      <c r="J4" s="12" t="s">
        <v>323</v>
      </c>
      <c r="K4" s="11" t="n">
        <v>14</v>
      </c>
      <c r="L4" s="20" t="n">
        <v>820</v>
      </c>
      <c r="M4" s="20" t="n">
        <v>31</v>
      </c>
      <c r="N4" s="43" t="n">
        <f aca="false">IF(OR(L4="",M4="",L4=0),"",M4/L4)</f>
        <v>0.0378048780487805</v>
      </c>
      <c r="O4" s="20" t="n">
        <v>9</v>
      </c>
      <c r="P4" s="20" t="n">
        <v>1</v>
      </c>
      <c r="Q4" s="20" t="n">
        <v>1</v>
      </c>
      <c r="R4" s="20" t="n">
        <v>6000</v>
      </c>
      <c r="S4" s="11" t="s">
        <v>324</v>
      </c>
      <c r="T4" s="11" t="s">
        <v>325</v>
      </c>
      <c r="U4" s="12" t="s">
        <v>326</v>
      </c>
      <c r="V4" s="11"/>
      <c r="W4" s="11"/>
      <c r="X4" s="21" t="n">
        <v>0.42</v>
      </c>
      <c r="Y4" s="12" t="s">
        <v>327</v>
      </c>
    </row>
    <row r="5" customFormat="false" ht="15" hidden="false" customHeight="false" outlineLevel="0" collapsed="false">
      <c r="A5" s="11" t="n">
        <v>2</v>
      </c>
      <c r="B5" s="11" t="s">
        <v>289</v>
      </c>
      <c r="C5" s="12" t="s">
        <v>328</v>
      </c>
      <c r="D5" s="11" t="s">
        <v>292</v>
      </c>
      <c r="E5" s="11" t="s">
        <v>329</v>
      </c>
      <c r="F5" s="11" t="n">
        <v>1</v>
      </c>
      <c r="G5" s="11" t="n">
        <v>2</v>
      </c>
      <c r="H5" s="11" t="s">
        <v>330</v>
      </c>
      <c r="I5" s="11"/>
      <c r="J5" s="11"/>
      <c r="K5" s="11"/>
      <c r="L5" s="20"/>
      <c r="M5" s="20"/>
      <c r="N5" s="43" t="str">
        <f aca="false">IF(OR(L5="",M5="",L5=0),"",M5/L5)</f>
        <v/>
      </c>
      <c r="O5" s="20"/>
      <c r="P5" s="20"/>
      <c r="Q5" s="20"/>
      <c r="R5" s="20"/>
      <c r="S5" s="11"/>
      <c r="T5" s="11"/>
      <c r="U5" s="11"/>
      <c r="V5" s="11"/>
      <c r="W5" s="11"/>
      <c r="X5" s="21"/>
      <c r="Y5" s="11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23"/>
      <c r="M6" s="23"/>
      <c r="N6" s="43" t="str">
        <f aca="false">IF(OR(L6="",M6="",L6=0),"",M6/L6)</f>
        <v/>
      </c>
      <c r="O6" s="23"/>
      <c r="P6" s="23"/>
      <c r="Q6" s="23"/>
      <c r="R6" s="23"/>
      <c r="S6" s="13"/>
      <c r="T6" s="13"/>
      <c r="U6" s="13"/>
      <c r="V6" s="13"/>
      <c r="W6" s="13"/>
      <c r="X6" s="24"/>
      <c r="Y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23"/>
      <c r="M7" s="23"/>
      <c r="N7" s="43" t="str">
        <f aca="false">IF(OR(L7="",M7="",L7=0),"",M7/L7)</f>
        <v/>
      </c>
      <c r="O7" s="23"/>
      <c r="P7" s="23"/>
      <c r="Q7" s="23"/>
      <c r="R7" s="23"/>
      <c r="S7" s="13"/>
      <c r="T7" s="13"/>
      <c r="U7" s="13"/>
      <c r="V7" s="13"/>
      <c r="W7" s="13"/>
      <c r="X7" s="24"/>
      <c r="Y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23"/>
      <c r="M8" s="23"/>
      <c r="N8" s="43" t="str">
        <f aca="false">IF(OR(L8="",M8="",L8=0),"",M8/L8)</f>
        <v/>
      </c>
      <c r="O8" s="23"/>
      <c r="P8" s="23"/>
      <c r="Q8" s="23"/>
      <c r="R8" s="23"/>
      <c r="S8" s="13"/>
      <c r="T8" s="13"/>
      <c r="U8" s="13"/>
      <c r="V8" s="13"/>
      <c r="W8" s="13"/>
      <c r="X8" s="24"/>
      <c r="Y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23"/>
      <c r="M9" s="23"/>
      <c r="N9" s="43" t="str">
        <f aca="false">IF(OR(L9="",M9="",L9=0),"",M9/L9)</f>
        <v/>
      </c>
      <c r="O9" s="23"/>
      <c r="P9" s="23"/>
      <c r="Q9" s="23"/>
      <c r="R9" s="23"/>
      <c r="S9" s="13"/>
      <c r="T9" s="13"/>
      <c r="U9" s="13"/>
      <c r="V9" s="13"/>
      <c r="W9" s="13"/>
      <c r="X9" s="24"/>
      <c r="Y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23"/>
      <c r="M10" s="23"/>
      <c r="N10" s="43" t="str">
        <f aca="false">IF(OR(L10="",M10="",L10=0),"",M10/L10)</f>
        <v/>
      </c>
      <c r="O10" s="23"/>
      <c r="P10" s="23"/>
      <c r="Q10" s="23"/>
      <c r="R10" s="23"/>
      <c r="S10" s="13"/>
      <c r="T10" s="13"/>
      <c r="U10" s="13"/>
      <c r="V10" s="13"/>
      <c r="W10" s="13"/>
      <c r="X10" s="24"/>
      <c r="Y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23"/>
      <c r="M11" s="23"/>
      <c r="N11" s="43" t="str">
        <f aca="false">IF(OR(L11="",M11="",L11=0),"",M11/L11)</f>
        <v/>
      </c>
      <c r="O11" s="23"/>
      <c r="P11" s="23"/>
      <c r="Q11" s="23"/>
      <c r="R11" s="23"/>
      <c r="S11" s="13"/>
      <c r="T11" s="13"/>
      <c r="U11" s="13"/>
      <c r="V11" s="13"/>
      <c r="W11" s="13"/>
      <c r="X11" s="24"/>
      <c r="Y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23"/>
      <c r="M12" s="23"/>
      <c r="N12" s="43" t="str">
        <f aca="false">IF(OR(L12="",M12="",L12=0),"",M12/L12)</f>
        <v/>
      </c>
      <c r="O12" s="23"/>
      <c r="P12" s="23"/>
      <c r="Q12" s="23"/>
      <c r="R12" s="23"/>
      <c r="S12" s="13"/>
      <c r="T12" s="13"/>
      <c r="U12" s="13"/>
      <c r="V12" s="13"/>
      <c r="W12" s="13"/>
      <c r="X12" s="24"/>
      <c r="Y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23"/>
      <c r="M13" s="23"/>
      <c r="N13" s="43" t="str">
        <f aca="false">IF(OR(L13="",M13="",L13=0),"",M13/L13)</f>
        <v/>
      </c>
      <c r="O13" s="23"/>
      <c r="P13" s="23"/>
      <c r="Q13" s="23"/>
      <c r="R13" s="23"/>
      <c r="S13" s="13"/>
      <c r="T13" s="13"/>
      <c r="U13" s="13"/>
      <c r="V13" s="13"/>
      <c r="W13" s="13"/>
      <c r="X13" s="24"/>
      <c r="Y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23"/>
      <c r="M14" s="23"/>
      <c r="N14" s="43" t="str">
        <f aca="false">IF(OR(L14="",M14="",L14=0),"",M14/L14)</f>
        <v/>
      </c>
      <c r="O14" s="23"/>
      <c r="P14" s="23"/>
      <c r="Q14" s="23"/>
      <c r="R14" s="23"/>
      <c r="S14" s="13"/>
      <c r="T14" s="13"/>
      <c r="U14" s="13"/>
      <c r="V14" s="13"/>
      <c r="W14" s="13"/>
      <c r="X14" s="24"/>
      <c r="Y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23"/>
      <c r="M15" s="23"/>
      <c r="N15" s="43" t="str">
        <f aca="false">IF(OR(L15="",M15="",L15=0),"",M15/L15)</f>
        <v/>
      </c>
      <c r="O15" s="23"/>
      <c r="P15" s="23"/>
      <c r="Q15" s="23"/>
      <c r="R15" s="23"/>
      <c r="S15" s="13"/>
      <c r="T15" s="13"/>
      <c r="U15" s="13"/>
      <c r="V15" s="13"/>
      <c r="W15" s="13"/>
      <c r="X15" s="24"/>
      <c r="Y15" s="13"/>
    </row>
  </sheetData>
  <dataValidations count="4">
    <dataValidation allowBlank="true" errorStyle="stop" operator="between" showDropDown="false" showErrorMessage="false" showInputMessage="false" sqref="D4:D500" type="list">
      <formula1>"成約,集客,橋渡し"</formula1>
      <formula2>0</formula2>
    </dataValidation>
    <dataValidation allowBlank="true" errorStyle="stop" operator="between" showDropDown="false" showErrorMessage="false" showInputMessage="false" sqref="E4:E500" type="list">
      <formula1>"体験記,比較,ランキング,使い方,悩み解決,知識"</formula1>
      <formula2>0</formula2>
    </dataValidation>
    <dataValidation allowBlank="true" errorStyle="stop" operator="between" showDropDown="false" showErrorMessage="false" showInputMessage="false" sqref="H4:H500" type="list">
      <formula1>"企画,構成OK,執筆中,公開待ち,公開済み"</formula1>
      <formula2>0</formula2>
    </dataValidation>
    <dataValidation allowBlank="true" errorStyle="stop" operator="between" showDropDown="false" showErrorMessage="false" showInputMessage="false" sqref="S4:S500" type="list">
      <formula1>"表示ほぼ0,21位以下,順位10〜20位,CTR低い,遷移なし,成約なし,別KWで流入,なし"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2026-09-17T01:41:51Z</dcterms:created>
  <dc:creator>openpyxl</dc:creator>
  <dc:description/>
  <dc:language>en-US</dc:language>
  <cp:lastModifiedBy/>
  <dcterms:modified xsi:type="dcterms:W3CDTF">2026-09-17T01:41:52Z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