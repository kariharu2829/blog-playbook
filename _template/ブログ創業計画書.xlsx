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い方" sheetId="1" state="visible" r:id="rId1"/>
    <sheet name="創業計画書" sheetId="2" state="visible" r:id="rId2"/>
    <sheet name="逆算・見通し" sheetId="3" state="visible" r:id="rId3"/>
    <sheet name="案件評価表" sheetId="4" state="visible" r:id="rId4"/>
    <sheet name="KW一覧" sheetId="5" state="visible" r:id="rId5"/>
    <sheet name="記事一覧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,##0\円"/>
    <numFmt numFmtId="165" formatCode="0&quot;時間&quot;"/>
    <numFmt numFmtId="166" formatCode="0\本"/>
    <numFmt numFmtId="167" formatCode="#,##0;[RED]\-#,##0"/>
    <numFmt numFmtId="168" formatCode="0.0%"/>
    <numFmt numFmtId="169" formatCode="0.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WenQuanYi Zen Hei"/>
      <family val="2"/>
      <b val="1"/>
      <color rgb="FF000000"/>
      <sz val="16"/>
    </font>
    <font>
      <name val="WenQuanYi Zen Hei"/>
      <family val="2"/>
      <color rgb="FF000000"/>
      <sz val="10"/>
    </font>
    <font>
      <name val="Meiryo"/>
      <charset val="1"/>
      <family val="0"/>
      <color rgb="FF000000"/>
      <sz val="10"/>
    </font>
    <font>
      <name val="WenQuanYi Zen Hei"/>
      <family val="2"/>
      <b val="1"/>
      <color rgb="FF000000"/>
      <sz val="10"/>
    </font>
    <font>
      <name val="WenQuanYi Zen Hei"/>
      <family val="2"/>
      <color rgb="FF0000FF"/>
      <sz val="10"/>
    </font>
    <font>
      <name val="Meiryo"/>
      <charset val="1"/>
      <family val="0"/>
      <color rgb="FF0000FF"/>
      <sz val="10"/>
    </font>
    <font>
      <name val="WenQuanYi Zen Hei"/>
      <family val="2"/>
      <b val="1"/>
      <color rgb="FFFFFFFF"/>
      <sz val="11"/>
    </font>
    <font>
      <name val="Meiryo"/>
      <charset val="1"/>
      <family val="0"/>
      <b val="1"/>
      <color rgb="FFFFFFFF"/>
      <sz val="11"/>
    </font>
    <font>
      <name val="Meiryo"/>
      <charset val="1"/>
      <family val="0"/>
      <b val="1"/>
      <color rgb="FF000000"/>
      <sz val="10"/>
    </font>
    <font>
      <name val="WenQuanYi Zen Hei"/>
      <family val="2"/>
      <sz val="10"/>
    </font>
    <font>
      <name val="Arial"/>
      <family val="2"/>
      <sz val="10"/>
    </font>
    <font>
      <name val="WenQuanYi Zen Hei"/>
      <family val="2"/>
      <b val="1"/>
      <color rgb="FF000000"/>
      <sz val="14"/>
    </font>
    <font>
      <name val="Meiryo"/>
      <charset val="1"/>
      <family val="0"/>
      <b val="1"/>
      <color rgb="FF000000"/>
      <sz val="14"/>
    </font>
    <font>
      <name val="Meiryo"/>
      <charset val="1"/>
      <family val="0"/>
      <color rgb="FF008000"/>
      <sz val="10"/>
    </font>
    <font>
      <name val="WenQuanYi Zen Hei"/>
      <family val="2"/>
      <b val="1"/>
      <color rgb="FF000000"/>
      <sz val="12"/>
    </font>
    <font>
      <name val="Meiryo"/>
      <charset val="1"/>
      <family val="0"/>
      <b val="1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</fills>
  <borders count="11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horizontal="general" vertical="center"/>
    </xf>
    <xf numFmtId="164" fontId="9" fillId="3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3" fontId="9" fillId="3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3" fontId="9" fillId="2" borderId="1" applyAlignment="1" pivotButton="0" quotePrefix="0" xfId="0">
      <alignment horizontal="general" vertical="top" wrapText="1"/>
    </xf>
    <xf numFmtId="9" fontId="9" fillId="2" borderId="1" applyAlignment="1" pivotButton="0" quotePrefix="0" xfId="0">
      <alignment horizontal="general" vertical="top" wrapText="1"/>
    </xf>
    <xf numFmtId="9" fontId="6" fillId="0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6" fontId="9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167" fontId="6" fillId="0" borderId="1" applyAlignment="1" pivotButton="0" quotePrefix="0" xfId="0">
      <alignment horizontal="general" vertical="top" wrapText="1"/>
    </xf>
    <xf numFmtId="168" fontId="9" fillId="3" borderId="1" applyAlignment="1" pivotButton="0" quotePrefix="0" xfId="0">
      <alignment horizontal="general" vertical="top" wrapText="1"/>
    </xf>
    <xf numFmtId="169" fontId="6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center"/>
    </xf>
    <xf numFmtId="1" fontId="6" fillId="0" borderId="1" applyAlignment="1" pivotButton="0" quotePrefix="0" xfId="0">
      <alignment horizontal="general" vertical="top" wrapText="1"/>
    </xf>
    <xf numFmtId="3" fontId="17" fillId="0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1" fontId="9" fillId="3" borderId="1" applyAlignment="1" pivotButton="0" quotePrefix="0" xfId="0">
      <alignment horizontal="general" vertical="top" wrapText="1"/>
    </xf>
    <xf numFmtId="1" fontId="17" fillId="0" borderId="1" applyAlignment="1" pivotButton="0" quotePrefix="0" xfId="0">
      <alignment horizontal="general" vertical="top" wrapText="1"/>
    </xf>
    <xf numFmtId="1" fontId="9" fillId="2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3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horizontal="general" vertical="center"/>
    </xf>
    <xf numFmtId="164" fontId="9" fillId="3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3" fontId="9" fillId="3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3" fontId="6" fillId="0" borderId="1" applyAlignment="1" pivotButton="0" quotePrefix="0" xfId="0">
      <alignment horizontal="general" vertical="top" wrapText="1"/>
    </xf>
    <xf numFmtId="3" fontId="9" fillId="2" borderId="1" applyAlignment="1" pivotButton="0" quotePrefix="0" xfId="0">
      <alignment horizontal="general" vertical="top" wrapText="1"/>
    </xf>
    <xf numFmtId="9" fontId="9" fillId="2" borderId="1" applyAlignment="1" pivotButton="0" quotePrefix="0" xfId="0">
      <alignment horizontal="general" vertical="top" wrapText="1"/>
    </xf>
    <xf numFmtId="9" fontId="6" fillId="0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6" fontId="9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167" fontId="6" fillId="0" borderId="1" applyAlignment="1" pivotButton="0" quotePrefix="0" xfId="0">
      <alignment horizontal="general" vertical="top" wrapText="1"/>
    </xf>
    <xf numFmtId="168" fontId="9" fillId="3" borderId="1" applyAlignment="1" pivotButton="0" quotePrefix="0" xfId="0">
      <alignment horizontal="general" vertical="top" wrapText="1"/>
    </xf>
    <xf numFmtId="169" fontId="6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center"/>
    </xf>
    <xf numFmtId="1" fontId="6" fillId="0" borderId="1" applyAlignment="1" pivotButton="0" quotePrefix="0" xfId="0">
      <alignment horizontal="general" vertical="top" wrapText="1"/>
    </xf>
    <xf numFmtId="3" fontId="17" fillId="0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1" fontId="9" fillId="3" borderId="1" applyAlignment="1" pivotButton="0" quotePrefix="0" xfId="0">
      <alignment horizontal="general" vertical="top" wrapText="1"/>
    </xf>
    <xf numFmtId="1" fontId="9" fillId="2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168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A6" authorId="0" shapeId="0">
      <text>
        <t>発生ではなく確定ベース。ステップ0</t>
      </text>
    </comment>
    <comment ref="E6" authorId="0" shapeId="0">
      <text>
        <t>高単価型=5,000円以上／中単価型=3,000〜5,000円／低単価型=3,000円未満（原則選ばない）</t>
      </text>
    </comment>
    <comment ref="B7" authorId="0" shapeId="0">
      <text>
        <t>ステップ0。読者に語れる動機。「稼ぎたい」だけで止めない</t>
      </text>
    </comment>
    <comment ref="A17" authorId="0" shapeId="0">
      <text>
        <t>公庫の「過去の事業経験」に対応</t>
      </text>
    </comment>
    <comment ref="A19" authorId="0" shapeId="0">
      <text>
        <t>契約中のサービス、所有している製品、家庭環境、職歴など「実体験として書けるもの」を漏れなく。ステップ1で案件と照らす</t>
      </text>
    </comment>
    <comment ref="A27" authorId="0" shapeId="0">
      <text>
        <t>主力1件・サブ2件まで。ステップ1</t>
      </text>
    </comment>
    <comment ref="F27" authorId="0" shapeId="0">
      <text>
        <t>客単価＝成果報酬×確定率（期待報酬）。確定率が「ー」なら成果条件から仮置きし、コメントに『仮』と書く</t>
      </text>
    </comment>
    <comment ref="A28" authorId="0" shapeId="0">
      <text>
        <t>主力1件・サブ2件まで。ステップ1</t>
      </text>
    </comment>
    <comment ref="A29" authorId="0" shapeId="0">
      <text>
        <t>主力1件・サブ2件まで。ステップ1</t>
      </text>
    </comment>
    <comment ref="A31" authorId="0" shapeId="0">
      <text>
        <t>AIには作れない一次情報。実機・実測・家庭の記録など</t>
      </text>
    </comment>
    <comment ref="A34" authorId="0" shapeId="0">
      <text>
        <t>ステップ2。読者像はKWの検索意図から。集客KW→成約KWの導線を書く</t>
      </text>
    </comment>
    <comment ref="A37" authorId="0" shapeId="0">
      <text>
        <t>ラッコM&amp;Aの実データ（逆算・見通しシート）と、KW一覧の個人ブログの有無・DAから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6" authorId="0" shapeId="0">
      <text>
        <t>M&amp;A実データの平均（A表）。事例がなければ 遷移率×成約率×報酬 で仮置き</t>
      </text>
    </comment>
    <comment ref="A17" authorId="0" shapeId="0">
      <text>
        <t>M&amp;A実データの平均（A表）。事例がなければ300〜500で仮置き</t>
      </text>
    </comment>
    <comment ref="F26" authorId="0" shapeId="0">
      <text>
        <t>目標は本人が置く。例：7か月目から立ち上げ、12か月目に目標月収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3" authorId="0" shapeId="0">
      <text>
        <t>期待報酬＝成果報酬×確定率。成果報酬が料率（例「購入10%」）のとき、確定率が「ー」のときは空欄になる。仮置きするなら「落選・保留の理由」欄に「仮」と書く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C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44" min="1" max="1"/>
    <col width="34" customWidth="1" style="44" min="2" max="2"/>
    <col width="90" customWidth="1" style="44" min="3" max="3"/>
  </cols>
  <sheetData>
    <row r="1" ht="19.7" customHeight="1" s="45">
      <c r="B1" s="46" t="inlineStr">
        <is>
          <t>ブログ創業計画書（雛形）</t>
        </is>
      </c>
    </row>
    <row r="2" ht="31.5" customHeight="1" s="45">
      <c r="B2" s="47" t="inlineStr">
        <is>
          <t>日本政策金融公庫の創業計画書（10項目）をブログ用に写したもの。blog-playbook のステップ0〜2で埋め、ステップ5の3か月見直しで更新する。</t>
        </is>
      </c>
    </row>
    <row r="4" ht="15" customHeight="1" s="45">
      <c r="B4" s="48" t="inlineStr">
        <is>
          <t>凡例</t>
        </is>
      </c>
      <c r="C4" s="49" t="n"/>
    </row>
    <row r="5" ht="15" customHeight="1" s="45">
      <c r="B5" s="50" t="inlineStr">
        <is>
          <t>黄色セル・青字</t>
        </is>
      </c>
      <c r="C5" s="47" t="inlineStr">
        <is>
          <t>記入するセル。記入例が入っているものは上書きしてよい</t>
        </is>
      </c>
    </row>
    <row r="6" ht="15" customHeight="1" s="45">
      <c r="B6" s="51" t="inlineStr">
        <is>
          <t>灰色セル・青字</t>
        </is>
      </c>
      <c r="C6" s="47" t="inlineStr">
        <is>
          <t>記入例の行。実際の値を入れたら消してよい</t>
        </is>
      </c>
    </row>
    <row r="7" ht="15" customHeight="1" s="45">
      <c r="B7" s="52" t="inlineStr">
        <is>
          <t>黒字</t>
        </is>
      </c>
      <c r="C7" s="47" t="inlineStr">
        <is>
          <t>計算式。触らない</t>
        </is>
      </c>
    </row>
    <row r="8" ht="15" customHeight="1" s="45">
      <c r="B8" s="52" t="inlineStr">
        <is>
          <t>セルのコメント（赤い三角）</t>
        </is>
      </c>
      <c r="C8" s="47" t="inlineStr">
        <is>
          <t>その欄で何を書くか、どのステップで埋めるかのメモ</t>
        </is>
      </c>
    </row>
    <row r="9" ht="15" customHeight="1" s="45">
      <c r="B9" s="48" t="n"/>
      <c r="C9" s="47" t="n"/>
    </row>
    <row r="10" ht="15" customHeight="1" s="45">
      <c r="B10" s="48" t="inlineStr">
        <is>
          <t>シート構成</t>
        </is>
      </c>
      <c r="C10" s="47" t="n"/>
    </row>
    <row r="11" ht="15" customHeight="1" s="45">
      <c r="B11" s="52" t="inlineStr">
        <is>
          <t>創業計画書</t>
        </is>
      </c>
      <c r="C11" s="49" t="inlineStr">
        <is>
          <t>1枚の本体。公庫の10項目に対応。ステップ0・1・2で埋める</t>
        </is>
      </c>
    </row>
    <row r="12" ht="15" customHeight="1" s="45">
      <c r="B12" s="52" t="inlineStr">
        <is>
          <t>逆算・見通し</t>
        </is>
      </c>
      <c r="C12" s="47" t="inlineStr">
        <is>
          <t>ステップ0。ラッコM&amp;Aの実データ表、必要PV・必要記事数の逆算、12か月マイルストーン</t>
        </is>
      </c>
    </row>
    <row r="13" ht="15" customHeight="1" s="45">
      <c r="B13" s="52" t="inlineStr">
        <is>
          <t>案件評価表</t>
        </is>
      </c>
      <c r="C13" s="47" t="inlineStr">
        <is>
          <t>ステップ1。ASPで見た案件を4指標で並べる。主力1・サブ2を決める</t>
        </is>
      </c>
    </row>
    <row r="14" ht="15" customHeight="1" s="45">
      <c r="B14" s="53" t="inlineStr">
        <is>
          <t>KW一覧</t>
        </is>
      </c>
      <c r="C14" s="47" t="inlineStr">
        <is>
          <t>ステップ2。KWごとの検索vol・DA・個人ブログの有無・クエリ判定。DA10未満／20未満で色が付く</t>
        </is>
      </c>
    </row>
    <row r="15" ht="15" customHeight="1" s="45">
      <c r="B15" s="52" t="inlineStr">
        <is>
          <t>記事一覧</t>
        </is>
      </c>
      <c r="C15" s="47" t="inlineStr">
        <is>
          <t>ステップ2の出力とステップ5の計測。1グループ1記事。毎月1日に順位・CTR・成約を更新する</t>
        </is>
      </c>
    </row>
    <row r="16" ht="15" customHeight="1" s="45">
      <c r="B16" s="48" t="n"/>
      <c r="C16" s="47" t="n"/>
    </row>
    <row r="17" ht="15" customHeight="1" s="45">
      <c r="B17" s="48" t="inlineStr">
        <is>
          <t>埋める順番</t>
        </is>
      </c>
      <c r="C17" s="47" t="n"/>
    </row>
    <row r="18" ht="15" customHeight="1" s="45">
      <c r="B18" s="53" t="inlineStr">
        <is>
          <t>1</t>
        </is>
      </c>
      <c r="C18" s="47" t="inlineStr">
        <is>
          <t>逆算・見通し シートで、目標月収・体験資産・候補ジャンルを書き、M&amp;A実データを3件以上入れる</t>
        </is>
      </c>
    </row>
    <row r="19" ht="15" customHeight="1" s="45">
      <c r="B19" s="53" t="inlineStr">
        <is>
          <t>2</t>
        </is>
      </c>
      <c r="C19" s="47" t="inlineStr">
        <is>
          <t>創業計画書 の 1・2・4・6・7・8 を埋める（ステップ0）</t>
        </is>
      </c>
    </row>
    <row r="20" ht="15" customHeight="1" s="45">
      <c r="B20" s="53" t="inlineStr">
        <is>
          <t>3</t>
        </is>
      </c>
      <c r="C20" s="47" t="inlineStr">
        <is>
          <t>案件評価表 を埋め、主力1・サブ2を決めたら 創業計画書 の 3・5 を埋める（ステップ1）</t>
        </is>
      </c>
    </row>
    <row r="21" ht="15" customHeight="1" s="45">
      <c r="B21" s="53" t="inlineStr">
        <is>
          <t>4</t>
        </is>
      </c>
      <c r="C21" s="49" t="inlineStr">
        <is>
          <t>KW一覧 → 記事一覧 を作り、創業計画書 の 3（販売戦略・競合）と 9（見通し）を埋める（ステップ2）</t>
        </is>
      </c>
    </row>
    <row r="22" ht="15" customHeight="1" s="45">
      <c r="B22" s="53" t="inlineStr">
        <is>
          <t>5</t>
        </is>
      </c>
      <c r="C22" s="49" t="inlineStr">
        <is>
          <t>9の見通しが必要記事数・投下時間と両立するか確認する。しなければ 0 か 1 に戻る</t>
        </is>
      </c>
    </row>
    <row r="23" ht="15" customHeight="1" s="45">
      <c r="B23" s="53" t="inlineStr">
        <is>
          <t>6</t>
        </is>
      </c>
      <c r="C23" s="47" t="inlineStr">
        <is>
          <t>記事一覧の優先順位1番から、ステップ3・4を回す。埋まるまでブログを開設しない</t>
        </is>
      </c>
    </row>
    <row r="24" ht="15" customHeight="1" s="45">
      <c r="B24" s="53" t="inlineStr">
        <is>
          <t>既存サイトに当てはめる場合</t>
        </is>
      </c>
      <c r="C24" s="47" t="inlineStr">
        <is>
          <t>逆算・見通し の「開始時点の既存記事数」に公開済み本数を入れる。到達週数は差分（必要記事数 － 既存記事数）で計算される。案件・KW・記事一覧も、すでにあるものを先に転記してから不足を洗い出す</t>
        </is>
      </c>
    </row>
    <row r="25" ht="48" customHeight="1" s="45">
      <c r="B25" s="52" t="inlineStr">
        <is>
          <t>数値の目安</t>
        </is>
      </c>
      <c r="C25" s="47" t="inlineStr">
        <is>
          <t>成果報酬: 2,000円未満は見ない／3,000円以上候補／5,000円以上優先。確定率: 50%未満は落とす／60%以上候補／80%以上優先。検索vol: 10未満は書かない／10〜100が初期の主戦場／100以上優先。DA: 20未満候補／10未満優先</t>
        </is>
      </c>
    </row>
    <row r="26" ht="15" customHeight="1" s="45">
      <c r="B26" s="52" t="inlineStr">
        <is>
          <t>出典</t>
        </is>
      </c>
      <c r="C26" s="47" t="inlineStr">
        <is>
          <t>公庫様式の項目対応は references/創業計画書_公庫様式の項目メモ.md。数値の目安は README「数値の目安」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44" min="1" max="1"/>
    <col width="16" customWidth="1" style="44" min="2" max="7"/>
    <col width="22" customWidth="1" style="44" min="8" max="8"/>
  </cols>
  <sheetData>
    <row r="1" ht="19.7" customHeight="1" s="45">
      <c r="A1" s="46" t="inlineStr">
        <is>
          <t>ブログ創業計画書</t>
        </is>
      </c>
    </row>
    <row r="2" ht="15" customHeight="1" s="45">
      <c r="A2" s="54" t="inlineStr">
        <is>
          <t>サイト名</t>
        </is>
      </c>
      <c r="B2" s="55" t="inlineStr">
        <is>
          <t>（例）〇〇ラボ</t>
        </is>
      </c>
      <c r="C2" s="56" t="n"/>
      <c r="D2" s="57" t="n"/>
      <c r="E2" s="54" t="inlineStr">
        <is>
          <t>作成日</t>
        </is>
      </c>
      <c r="F2" s="58" t="inlineStr">
        <is>
          <t>2026-09-17</t>
        </is>
      </c>
    </row>
    <row r="3" ht="15" customHeight="1" s="45">
      <c r="A3" s="54" t="inlineStr">
        <is>
          <t>作成者</t>
        </is>
      </c>
      <c r="B3" s="55" t="inlineStr">
        <is>
          <t>もろ</t>
        </is>
      </c>
      <c r="C3" s="56" t="n"/>
      <c r="D3" s="57" t="n"/>
      <c r="E3" s="54" t="inlineStr">
        <is>
          <t>最終更新</t>
        </is>
      </c>
      <c r="F3" s="59" t="n"/>
    </row>
    <row r="5" ht="19.5" customHeight="1" s="45">
      <c r="A5" s="60" t="inlineStr">
        <is>
          <t>１ 創業の動機（なぜこのブログを、いつまでに、いくらのために始めるか）　← ステップ0</t>
        </is>
      </c>
    </row>
    <row r="6" ht="15" customHeight="1" s="45">
      <c r="A6" s="54" t="inlineStr">
        <is>
          <t>目標月収（確定報酬）</t>
        </is>
      </c>
      <c r="B6" s="61" t="n">
        <v>50000</v>
      </c>
      <c r="C6" s="54" t="inlineStr">
        <is>
          <t>期限</t>
        </is>
      </c>
      <c r="D6" s="58" t="inlineStr">
        <is>
          <t>2027-09</t>
        </is>
      </c>
      <c r="E6" s="54" t="inlineStr">
        <is>
          <t>単価の型</t>
        </is>
      </c>
      <c r="F6" s="55" t="inlineStr">
        <is>
          <t>高単価型</t>
        </is>
      </c>
    </row>
    <row r="7" ht="15" customHeight="1" s="45">
      <c r="A7" s="54" t="inlineStr">
        <is>
          <t>動機・目的</t>
        </is>
      </c>
      <c r="B7" s="62" t="inlineStr">
        <is>
          <t>（例）子どもがゲームとネットに触れ始め、家庭で実際に試した見守り設定の記録を、同じ悩みの親に届けたい。副業収入として月5万円を1年で。</t>
        </is>
      </c>
      <c r="C7" s="63" t="n"/>
      <c r="D7" s="63" t="n"/>
      <c r="E7" s="63" t="n"/>
      <c r="F7" s="63" t="n"/>
      <c r="G7" s="63" t="n"/>
      <c r="H7" s="64" t="n"/>
    </row>
    <row r="8" ht="15" customHeight="1" s="45">
      <c r="B8" s="65" t="n"/>
      <c r="H8" s="66" t="n"/>
    </row>
    <row r="9" ht="15" customHeight="1" s="45">
      <c r="B9" s="67" t="n"/>
      <c r="C9" s="68" t="n"/>
      <c r="D9" s="68" t="n"/>
      <c r="E9" s="68" t="n"/>
      <c r="F9" s="68" t="n"/>
      <c r="G9" s="68" t="n"/>
      <c r="H9" s="69" t="n"/>
    </row>
    <row r="11" ht="19.5" customHeight="1" s="45">
      <c r="A11" s="60" t="inlineStr">
        <is>
          <t>２ 発信者の略歴・体験資産（誰として語るか。E-E-A-Tの根拠）　← ステップ0</t>
        </is>
      </c>
    </row>
    <row r="12" ht="15" customHeight="1" s="45">
      <c r="A12" s="70" t="inlineStr">
        <is>
          <t>年月</t>
        </is>
      </c>
      <c r="B12" s="70" t="inlineStr">
        <is>
          <t>内容（勤務先・担当業務・身につけた技能・家庭の出来事など）</t>
        </is>
      </c>
      <c r="C12" s="56" t="n"/>
      <c r="D12" s="56" t="n"/>
      <c r="E12" s="56" t="n"/>
      <c r="F12" s="56" t="n"/>
      <c r="G12" s="56" t="n"/>
      <c r="H12" s="57" t="n"/>
    </row>
    <row r="13" ht="15" customHeight="1" s="45">
      <c r="A13" s="55" t="inlineStr">
        <is>
          <t>（例）2015-04</t>
        </is>
      </c>
      <c r="B13" s="62" t="inlineStr">
        <is>
          <t>（例）IT企業で社内ネットワークの運用を担当。家庭でもルーター設定・フィルタリングを自分で行う</t>
        </is>
      </c>
      <c r="C13" s="56" t="n"/>
      <c r="D13" s="56" t="n"/>
      <c r="E13" s="56" t="n"/>
      <c r="F13" s="56" t="n"/>
      <c r="G13" s="56" t="n"/>
      <c r="H13" s="57" t="n"/>
    </row>
    <row r="14" ht="15" customHeight="1" s="45">
      <c r="A14" s="59" t="n"/>
      <c r="B14" s="62" t="n"/>
      <c r="C14" s="56" t="n"/>
      <c r="D14" s="56" t="n"/>
      <c r="E14" s="56" t="n"/>
      <c r="F14" s="56" t="n"/>
      <c r="G14" s="56" t="n"/>
      <c r="H14" s="57" t="n"/>
    </row>
    <row r="15" ht="15" customHeight="1" s="45">
      <c r="A15" s="59" t="n"/>
      <c r="B15" s="62" t="n"/>
      <c r="C15" s="56" t="n"/>
      <c r="D15" s="56" t="n"/>
      <c r="E15" s="56" t="n"/>
      <c r="F15" s="56" t="n"/>
      <c r="G15" s="56" t="n"/>
      <c r="H15" s="57" t="n"/>
    </row>
    <row r="16" ht="15" customHeight="1" s="45">
      <c r="A16" s="59" t="n"/>
      <c r="B16" s="62" t="n"/>
      <c r="C16" s="56" t="n"/>
      <c r="D16" s="56" t="n"/>
      <c r="E16" s="56" t="n"/>
      <c r="F16" s="56" t="n"/>
      <c r="G16" s="56" t="n"/>
      <c r="H16" s="57" t="n"/>
    </row>
    <row r="17" ht="15" customHeight="1" s="45">
      <c r="A17" s="54" t="inlineStr">
        <is>
          <t>過去のブログ経験</t>
        </is>
      </c>
      <c r="B17" s="55" t="inlineStr">
        <is>
          <t>（例）2024年から1サイト運営中（記事19本・月間PV約300・確定報酬0円）</t>
        </is>
      </c>
      <c r="C17" s="56" t="n"/>
      <c r="D17" s="56" t="n"/>
      <c r="E17" s="56" t="n"/>
      <c r="F17" s="56" t="n"/>
      <c r="G17" s="56" t="n"/>
      <c r="H17" s="57" t="n"/>
    </row>
    <row r="18" ht="15" customHeight="1" s="45">
      <c r="A18" s="54" t="inlineStr">
        <is>
          <t>資格・実績</t>
        </is>
      </c>
      <c r="B18" s="55" t="inlineStr">
        <is>
          <t>（例）特になし</t>
        </is>
      </c>
      <c r="C18" s="56" t="n"/>
      <c r="D18" s="56" t="n"/>
      <c r="E18" s="56" t="n"/>
      <c r="F18" s="56" t="n"/>
      <c r="G18" s="56" t="n"/>
      <c r="H18" s="57" t="n"/>
    </row>
    <row r="19" ht="15" customHeight="1" s="45">
      <c r="A19" s="54" t="inlineStr">
        <is>
          <t>体験資産</t>
        </is>
      </c>
      <c r="B19" s="62" t="inlineStr">
        <is>
          <t>（例）VPN 2社契約中／見守りGPS 1台所有／小学生と年少の子ども／WordPress運用経験</t>
        </is>
      </c>
      <c r="C19" s="63" t="n"/>
      <c r="D19" s="63" t="n"/>
      <c r="E19" s="63" t="n"/>
      <c r="F19" s="63" t="n"/>
      <c r="G19" s="63" t="n"/>
      <c r="H19" s="64" t="n"/>
    </row>
    <row r="20" ht="15" customHeight="1" s="45">
      <c r="B20" s="65" t="n"/>
      <c r="H20" s="66" t="n"/>
    </row>
    <row r="21" ht="15" customHeight="1" s="45">
      <c r="B21" s="67" t="n"/>
      <c r="C21" s="68" t="n"/>
      <c r="D21" s="68" t="n"/>
      <c r="E21" s="68" t="n"/>
      <c r="F21" s="68" t="n"/>
      <c r="G21" s="68" t="n"/>
      <c r="H21" s="69" t="n"/>
    </row>
    <row r="23" ht="19.5" customHeight="1" s="45">
      <c r="A23" s="60" t="inlineStr">
        <is>
          <t>３ 取扱商品・サービス（売る物。ここが空欄なら計画は成立しない）　← ステップ1・2</t>
        </is>
      </c>
    </row>
    <row r="24" ht="26.85" customHeight="1" s="45">
      <c r="A24" s="54" t="inlineStr">
        <is>
          <t>事業内容（ジャンル・コンセプト）</t>
        </is>
      </c>
      <c r="B24" s="62" t="inlineStr">
        <is>
          <t>（例）子どもとデジタルの付き合い方を、家庭の実践記録から発信するメディア。見守りGPS・端末設定・家庭のネットセキュリティ</t>
        </is>
      </c>
      <c r="C24" s="63" t="n"/>
      <c r="D24" s="63" t="n"/>
      <c r="E24" s="63" t="n"/>
      <c r="F24" s="63" t="n"/>
      <c r="G24" s="63" t="n"/>
      <c r="H24" s="64" t="n"/>
    </row>
    <row r="25" ht="15" customHeight="1" s="45">
      <c r="B25" s="67" t="n"/>
      <c r="C25" s="68" t="n"/>
      <c r="D25" s="68" t="n"/>
      <c r="E25" s="68" t="n"/>
      <c r="F25" s="68" t="n"/>
      <c r="G25" s="68" t="n"/>
      <c r="H25" s="69" t="n"/>
    </row>
    <row r="26" ht="15" customHeight="1" s="45">
      <c r="A26" s="70" t="inlineStr">
        <is>
          <t>区分</t>
        </is>
      </c>
      <c r="B26" s="70" t="inlineStr">
        <is>
          <t>案件名</t>
        </is>
      </c>
      <c r="C26" s="71" t="inlineStr">
        <is>
          <t>ASP</t>
        </is>
      </c>
      <c r="D26" s="70" t="inlineStr">
        <is>
          <t>成果報酬（円）</t>
        </is>
      </c>
      <c r="E26" s="70" t="inlineStr">
        <is>
          <t>確定率</t>
        </is>
      </c>
      <c r="F26" s="70" t="inlineStr">
        <is>
          <t>客単価（円）</t>
        </is>
      </c>
      <c r="G26" s="70" t="inlineStr">
        <is>
          <t>成果条件（成果地点）</t>
        </is>
      </c>
      <c r="H26" s="70" t="inlineStr">
        <is>
          <t>想定売上シェア</t>
        </is>
      </c>
    </row>
    <row r="27" ht="26.85" customHeight="1" s="45">
      <c r="A27" s="72" t="inlineStr">
        <is>
          <t>主力①</t>
        </is>
      </c>
      <c r="B27" s="55" t="inlineStr">
        <is>
          <t>（例）〇〇GPS 本体購入</t>
        </is>
      </c>
      <c r="C27" s="58" t="inlineStr">
        <is>
          <t>A8.net</t>
        </is>
      </c>
      <c r="D27" s="73" t="n">
        <v>6000</v>
      </c>
      <c r="E27" s="74" t="n">
        <v>0.7</v>
      </c>
      <c r="F27" s="75">
        <f>IF(OR(D27="",E27=""),"",D27*E27)</f>
        <v/>
      </c>
      <c r="G27" s="55" t="inlineStr">
        <is>
          <t>本体購入完了</t>
        </is>
      </c>
      <c r="H27" s="74" t="n">
        <v>0.6</v>
      </c>
    </row>
    <row r="28" ht="26.85" customHeight="1" s="45">
      <c r="A28" s="72" t="inlineStr">
        <is>
          <t>サブ②</t>
        </is>
      </c>
      <c r="B28" s="55" t="inlineStr">
        <is>
          <t>（例）△△VPN 有料契約</t>
        </is>
      </c>
      <c r="C28" s="58" t="inlineStr">
        <is>
          <t>afb</t>
        </is>
      </c>
      <c r="D28" s="73" t="n">
        <v>4000</v>
      </c>
      <c r="E28" s="74" t="n">
        <v>0.8</v>
      </c>
      <c r="F28" s="75">
        <f>IF(OR(D28="",E28=""),"",D28*E28)</f>
        <v/>
      </c>
      <c r="G28" s="55" t="inlineStr">
        <is>
          <t>有料プラン契約</t>
        </is>
      </c>
      <c r="H28" s="74" t="n">
        <v>0.3</v>
      </c>
    </row>
    <row r="29" ht="15" customHeight="1" s="45">
      <c r="A29" s="72" t="inlineStr">
        <is>
          <t>サブ③</t>
        </is>
      </c>
      <c r="B29" s="59" t="n"/>
      <c r="C29" s="59" t="n"/>
      <c r="D29" s="76" t="n"/>
      <c r="E29" s="77" t="n"/>
      <c r="F29" s="75">
        <f>IF(OR(D29="",E29=""),"",D29*E29)</f>
        <v/>
      </c>
      <c r="G29" s="59" t="n"/>
      <c r="H29" s="77" t="n"/>
    </row>
    <row r="30" ht="15" customHeight="1" s="45">
      <c r="A30" s="54" t="inlineStr">
        <is>
          <t>シェア合計</t>
        </is>
      </c>
      <c r="H30" s="78">
        <f>IF(COUNT(H27:H29)=0,"",SUM(H27:H29))</f>
        <v/>
      </c>
    </row>
    <row r="31" ht="26.85" customHeight="1" s="45">
      <c r="A31" s="54" t="inlineStr">
        <is>
          <t>セールスポイント（自分の強み）</t>
        </is>
      </c>
      <c r="B31" s="62" t="inlineStr">
        <is>
          <t>（例）2社のVPNを同じ家庭回線で毎月速度実測している／見守りGPSを実際に子どもに持たせて3か月の記録がある</t>
        </is>
      </c>
      <c r="C31" s="63" t="n"/>
      <c r="D31" s="63" t="n"/>
      <c r="E31" s="63" t="n"/>
      <c r="F31" s="63" t="n"/>
      <c r="G31" s="63" t="n"/>
      <c r="H31" s="64" t="n"/>
    </row>
    <row r="32" ht="15" customHeight="1" s="45">
      <c r="B32" s="65" t="n"/>
      <c r="H32" s="66" t="n"/>
    </row>
    <row r="33" ht="15" customHeight="1" s="45">
      <c r="B33" s="67" t="n"/>
      <c r="C33" s="68" t="n"/>
      <c r="D33" s="68" t="n"/>
      <c r="E33" s="68" t="n"/>
      <c r="F33" s="68" t="n"/>
      <c r="G33" s="68" t="n"/>
      <c r="H33" s="69" t="n"/>
    </row>
    <row r="34" ht="26.85" customHeight="1" s="45">
      <c r="A34" s="54" t="inlineStr">
        <is>
          <t>販売ターゲット・販売戦略（集客方法）</t>
        </is>
      </c>
      <c r="B34" s="62" t="inlineStr">
        <is>
          <t>（例）年少〜小学生の子を持つ30〜40代の親。悩みKW（「子ども スマホ いつから」等）で集客し、比較記事を経て主力案件のレビュー記事へ流す。SNSは公開後に着手</t>
        </is>
      </c>
      <c r="C34" s="63" t="n"/>
      <c r="D34" s="63" t="n"/>
      <c r="E34" s="63" t="n"/>
      <c r="F34" s="63" t="n"/>
      <c r="G34" s="63" t="n"/>
      <c r="H34" s="64" t="n"/>
    </row>
    <row r="35" ht="15" customHeight="1" s="45">
      <c r="B35" s="65" t="n"/>
      <c r="H35" s="66" t="n"/>
    </row>
    <row r="36" ht="15" customHeight="1" s="45">
      <c r="B36" s="67" t="n"/>
      <c r="C36" s="68" t="n"/>
      <c r="D36" s="68" t="n"/>
      <c r="E36" s="68" t="n"/>
      <c r="F36" s="68" t="n"/>
      <c r="G36" s="68" t="n"/>
      <c r="H36" s="69" t="n"/>
    </row>
    <row r="37" ht="26.85" customHeight="1" s="45">
      <c r="A37" s="54" t="inlineStr">
        <is>
          <t>競合・市場（自分を取り巻く状況）</t>
        </is>
      </c>
      <c r="B37" s="62" t="inlineStr">
        <is>
          <t>（例）M&amp;A成約事例：同ジャンル50記事・月300PVで月7,500円が3件。主力KWの1ページ目にDA1桁の個人ブログが2つ。企業サイトは商標KWに集中</t>
        </is>
      </c>
      <c r="C37" s="63" t="n"/>
      <c r="D37" s="63" t="n"/>
      <c r="E37" s="63" t="n"/>
      <c r="F37" s="63" t="n"/>
      <c r="G37" s="63" t="n"/>
      <c r="H37" s="64" t="n"/>
    </row>
    <row r="38" ht="15" customHeight="1" s="45">
      <c r="B38" s="65" t="n"/>
      <c r="H38" s="66" t="n"/>
    </row>
    <row r="39" ht="15" customHeight="1" s="45">
      <c r="B39" s="67" t="n"/>
      <c r="C39" s="68" t="n"/>
      <c r="D39" s="68" t="n"/>
      <c r="E39" s="68" t="n"/>
      <c r="F39" s="68" t="n"/>
      <c r="G39" s="68" t="n"/>
      <c r="H39" s="69" t="n"/>
    </row>
    <row r="41" ht="19.5" customHeight="1" s="45">
      <c r="A41" s="60" t="inlineStr">
        <is>
          <t>４ 体制（誰が・どれだけ・何をやるか）　← ステップ0</t>
        </is>
      </c>
    </row>
    <row r="42" ht="15" customHeight="1" s="45">
      <c r="A42" s="54" t="inlineStr">
        <is>
          <t>週の投下時間（実績ベース）</t>
        </is>
      </c>
      <c r="B42" s="79" t="n">
        <v>8</v>
      </c>
      <c r="C42" s="54" t="inlineStr">
        <is>
          <t>外注の月予算</t>
        </is>
      </c>
      <c r="D42" s="61" t="n">
        <v>0</v>
      </c>
      <c r="E42" s="54" t="inlineStr">
        <is>
          <t>週あたり公開本数</t>
        </is>
      </c>
      <c r="F42" s="80" t="n">
        <v>1</v>
      </c>
    </row>
    <row r="43" ht="15" customHeight="1" s="45">
      <c r="A43" s="81" t="inlineStr">
        <is>
          <t>AIに任せる工程</t>
        </is>
      </c>
      <c r="B43" s="62" t="inlineStr">
        <is>
          <t>（例）KWリスト取得・シート転記・構成リサーチ・初稿・FAQ・入稿・公開前チェックA・サイトマップ送信・差分学習</t>
        </is>
      </c>
      <c r="C43" s="63" t="n"/>
      <c r="D43" s="63" t="n"/>
      <c r="E43" s="63" t="n"/>
      <c r="F43" s="63" t="n"/>
      <c r="G43" s="63" t="n"/>
      <c r="H43" s="64" t="n"/>
    </row>
    <row r="44" ht="15" customHeight="1" s="45">
      <c r="B44" s="67" t="n"/>
      <c r="C44" s="68" t="n"/>
      <c r="D44" s="68" t="n"/>
      <c r="E44" s="68" t="n"/>
      <c r="F44" s="68" t="n"/>
      <c r="G44" s="68" t="n"/>
      <c r="H44" s="69" t="n"/>
    </row>
    <row r="45" ht="15" customHeight="1" s="45">
      <c r="A45" s="54" t="inlineStr">
        <is>
          <t>本人がやる工程</t>
        </is>
      </c>
      <c r="B45" s="62" t="inlineStr">
        <is>
          <t>（例）ASP全件閲覧・勝てるKWの判断・構成の確定・リード文・体験・セールス・公開判断</t>
        </is>
      </c>
      <c r="C45" s="63" t="n"/>
      <c r="D45" s="63" t="n"/>
      <c r="E45" s="63" t="n"/>
      <c r="F45" s="63" t="n"/>
      <c r="G45" s="63" t="n"/>
      <c r="H45" s="64" t="n"/>
    </row>
    <row r="46" ht="15" customHeight="1" s="45">
      <c r="B46" s="67" t="n"/>
      <c r="C46" s="68" t="n"/>
      <c r="D46" s="68" t="n"/>
      <c r="E46" s="68" t="n"/>
      <c r="F46" s="68" t="n"/>
      <c r="G46" s="68" t="n"/>
      <c r="H46" s="69" t="n"/>
    </row>
    <row r="48" ht="19.5" customHeight="1" s="45">
      <c r="A48" s="60" t="inlineStr">
        <is>
          <t>５ 取引先（販売先＝ASP・広告主／仕入先＝ツール・インフラ／外注先）　← ステップ1</t>
        </is>
      </c>
    </row>
    <row r="49" ht="15" customHeight="1" s="45">
      <c r="A49" s="70" t="inlineStr">
        <is>
          <t>区分</t>
        </is>
      </c>
      <c r="B49" s="70" t="inlineStr">
        <is>
          <t>名称</t>
        </is>
      </c>
      <c r="C49" s="70" t="inlineStr">
        <is>
          <t>提携・契約状況</t>
        </is>
      </c>
      <c r="D49" s="70" t="inlineStr">
        <is>
          <t>成果条件 / 用途</t>
        </is>
      </c>
      <c r="E49" s="70" t="inlineStr">
        <is>
          <t>確定率 / 月額（円）</t>
        </is>
      </c>
      <c r="F49" s="70" t="inlineStr">
        <is>
          <t>支払サイト</t>
        </is>
      </c>
      <c r="G49" s="70" t="inlineStr">
        <is>
          <t>備考</t>
        </is>
      </c>
      <c r="H49" s="57" t="n"/>
    </row>
    <row r="50" ht="15" customHeight="1" s="45">
      <c r="A50" s="72" t="inlineStr">
        <is>
          <t>販売先</t>
        </is>
      </c>
      <c r="B50" s="55" t="inlineStr">
        <is>
          <t>（例）A8.net／〇〇社</t>
        </is>
      </c>
      <c r="C50" s="55" t="inlineStr">
        <is>
          <t>提携承認済</t>
        </is>
      </c>
      <c r="D50" s="55" t="inlineStr">
        <is>
          <t>本体購入完了</t>
        </is>
      </c>
      <c r="E50" s="74" t="n">
        <v>0.7</v>
      </c>
      <c r="F50" s="55" t="inlineStr">
        <is>
          <t>月末締め翌々月15日</t>
        </is>
      </c>
      <c r="G50" s="55" t="inlineStr">
        <is>
          <t>担当者あり</t>
        </is>
      </c>
      <c r="H50" s="57" t="n"/>
    </row>
    <row r="51" ht="15" customHeight="1" s="45">
      <c r="A51" s="72" t="inlineStr">
        <is>
          <t>販売先</t>
        </is>
      </c>
      <c r="B51" s="59" t="n"/>
      <c r="C51" s="59" t="n"/>
      <c r="D51" s="59" t="n"/>
      <c r="E51" s="76" t="n"/>
      <c r="F51" s="59" t="n"/>
      <c r="G51" s="59" t="n"/>
      <c r="H51" s="57" t="n"/>
    </row>
    <row r="52" ht="26.85" customHeight="1" s="45">
      <c r="A52" s="72" t="inlineStr">
        <is>
          <t>仕入先</t>
        </is>
      </c>
      <c r="B52" s="55" t="inlineStr">
        <is>
          <t>（例）ラッコキーワード</t>
        </is>
      </c>
      <c r="C52" s="55" t="inlineStr">
        <is>
          <t>エントリー契約中</t>
        </is>
      </c>
      <c r="D52" s="58" t="inlineStr">
        <is>
          <t>KW調査・獲得KW調査</t>
        </is>
      </c>
      <c r="E52" s="73" t="n">
        <v>990</v>
      </c>
      <c r="F52" s="55" t="inlineStr">
        <is>
          <t>月払い</t>
        </is>
      </c>
      <c r="G52" s="55" t="n"/>
      <c r="H52" s="57" t="n"/>
    </row>
    <row r="53" ht="26.85" customHeight="1" s="45">
      <c r="A53" s="72" t="inlineStr">
        <is>
          <t>仕入先</t>
        </is>
      </c>
      <c r="B53" s="55" t="inlineStr">
        <is>
          <t>（例）レンタルサーバー＋ドメイン</t>
        </is>
      </c>
      <c r="C53" s="55" t="inlineStr">
        <is>
          <t>契約中</t>
        </is>
      </c>
      <c r="D53" s="55" t="inlineStr">
        <is>
          <t>インフラ</t>
        </is>
      </c>
      <c r="E53" s="73" t="n">
        <v>1300</v>
      </c>
      <c r="F53" s="55" t="inlineStr">
        <is>
          <t>年払い</t>
        </is>
      </c>
      <c r="G53" s="55" t="n"/>
      <c r="H53" s="57" t="n"/>
    </row>
    <row r="54" ht="15" customHeight="1" s="45">
      <c r="A54" s="72" t="inlineStr">
        <is>
          <t>仕入先</t>
        </is>
      </c>
      <c r="B54" s="59" t="n"/>
      <c r="C54" s="59" t="n"/>
      <c r="D54" s="59" t="n"/>
      <c r="E54" s="76" t="n"/>
      <c r="F54" s="59" t="n"/>
      <c r="G54" s="59" t="n"/>
      <c r="H54" s="57" t="n"/>
    </row>
    <row r="55" ht="15" customHeight="1" s="45">
      <c r="A55" s="72" t="inlineStr">
        <is>
          <t>外注先</t>
        </is>
      </c>
      <c r="B55" s="55" t="inlineStr">
        <is>
          <t>（例）なし</t>
        </is>
      </c>
      <c r="C55" s="55" t="n"/>
      <c r="D55" s="55" t="n"/>
      <c r="E55" s="73" t="n"/>
      <c r="F55" s="55" t="n"/>
      <c r="G55" s="55" t="n"/>
      <c r="H55" s="57" t="n"/>
    </row>
    <row r="57" ht="19.5" customHeight="1" s="45">
      <c r="A57" s="60" t="inlineStr">
        <is>
          <t>６ 既存資産（既存サイト・SNS・ドメインなど）　← ステップ0</t>
        </is>
      </c>
    </row>
    <row r="58" ht="15" customHeight="1" s="45">
      <c r="A58" s="62" t="inlineStr">
        <is>
          <t>（例）既存サイト1つ（ドメイン取得2024-03、記事19本）／X フォロワー120／Pinterest 未着手</t>
        </is>
      </c>
      <c r="B58" s="63" t="n"/>
      <c r="C58" s="63" t="n"/>
      <c r="D58" s="63" t="n"/>
      <c r="E58" s="63" t="n"/>
      <c r="F58" s="63" t="n"/>
      <c r="G58" s="63" t="n"/>
      <c r="H58" s="64" t="n"/>
    </row>
    <row r="59" ht="15" customHeight="1" s="45">
      <c r="A59" s="67" t="n"/>
      <c r="B59" s="68" t="n"/>
      <c r="C59" s="68" t="n"/>
      <c r="D59" s="68" t="n"/>
      <c r="E59" s="68" t="n"/>
      <c r="F59" s="68" t="n"/>
      <c r="G59" s="68" t="n"/>
      <c r="H59" s="69" t="n"/>
    </row>
    <row r="61" ht="19.5" customHeight="1" s="45">
      <c r="A61" s="60" t="inlineStr">
        <is>
          <t>７ 毎月の固定費（公庫の「お借入の状況」に代えて）　← ステップ0</t>
        </is>
      </c>
    </row>
    <row r="62" ht="15" customHeight="1" s="45">
      <c r="A62" s="70" t="inlineStr">
        <is>
          <t>項目</t>
        </is>
      </c>
      <c r="B62" s="70" t="inlineStr">
        <is>
          <t>金額（円/月）</t>
        </is>
      </c>
      <c r="C62" s="70" t="inlineStr">
        <is>
          <t>備考</t>
        </is>
      </c>
      <c r="D62" s="56" t="n"/>
      <c r="E62" s="56" t="n"/>
      <c r="F62" s="56" t="n"/>
      <c r="G62" s="56" t="n"/>
      <c r="H62" s="57" t="n"/>
    </row>
    <row r="63" ht="15" customHeight="1" s="45">
      <c r="A63" s="55" t="inlineStr">
        <is>
          <t>（例）レンタルサーバー</t>
        </is>
      </c>
      <c r="B63" s="73" t="n">
        <v>1100</v>
      </c>
      <c r="C63" s="55" t="inlineStr">
        <is>
          <t>年払いを月割</t>
        </is>
      </c>
      <c r="D63" s="56" t="n"/>
      <c r="E63" s="56" t="n"/>
      <c r="F63" s="56" t="n"/>
      <c r="G63" s="56" t="n"/>
      <c r="H63" s="57" t="n"/>
    </row>
    <row r="64" ht="15" customHeight="1" s="45">
      <c r="A64" s="55" t="inlineStr">
        <is>
          <t>（例）ラッコキーワード</t>
        </is>
      </c>
      <c r="B64" s="73" t="n">
        <v>990</v>
      </c>
      <c r="C64" s="55" t="n"/>
      <c r="D64" s="56" t="n"/>
      <c r="E64" s="56" t="n"/>
      <c r="F64" s="56" t="n"/>
      <c r="G64" s="56" t="n"/>
      <c r="H64" s="57" t="n"/>
    </row>
    <row r="65" ht="15" customHeight="1" s="45">
      <c r="A65" s="55" t="inlineStr">
        <is>
          <t>（例）AIツール</t>
        </is>
      </c>
      <c r="B65" s="73" t="n">
        <v>3000</v>
      </c>
      <c r="C65" s="55" t="n"/>
      <c r="D65" s="56" t="n"/>
      <c r="E65" s="56" t="n"/>
      <c r="F65" s="56" t="n"/>
      <c r="G65" s="56" t="n"/>
      <c r="H65" s="57" t="n"/>
    </row>
    <row r="66" ht="15" customHeight="1" s="45">
      <c r="A66" s="59" t="n"/>
      <c r="B66" s="76" t="n"/>
      <c r="C66" s="59" t="n"/>
      <c r="D66" s="56" t="n"/>
      <c r="E66" s="56" t="n"/>
      <c r="F66" s="56" t="n"/>
      <c r="G66" s="56" t="n"/>
      <c r="H66" s="57" t="n"/>
    </row>
    <row r="67" ht="15" customHeight="1" s="45">
      <c r="A67" s="72" t="inlineStr">
        <is>
          <t>固定費 合計</t>
        </is>
      </c>
      <c r="B67" s="75">
        <f>IF(COUNT(B63:B66)=0,"",SUM(B63:B66))</f>
        <v/>
      </c>
    </row>
    <row r="69" ht="19.5" customHeight="1" s="45">
      <c r="A69" s="60" t="inlineStr">
        <is>
          <t>８ 必要な資金と調達方法（初期費用と、その出どころ）　← ステップ0</t>
        </is>
      </c>
    </row>
    <row r="70" ht="15" customHeight="1" s="45">
      <c r="A70" s="70" t="inlineStr">
        <is>
          <t>初期費用の内訳</t>
        </is>
      </c>
      <c r="B70" s="70" t="inlineStr">
        <is>
          <t>見積先</t>
        </is>
      </c>
      <c r="C70" s="70" t="inlineStr">
        <is>
          <t>金額（円）</t>
        </is>
      </c>
      <c r="D70" s="70" t="n"/>
      <c r="E70" s="70" t="inlineStr">
        <is>
          <t>調達方法</t>
        </is>
      </c>
      <c r="F70" s="70" t="inlineStr">
        <is>
          <t>金額（円）</t>
        </is>
      </c>
      <c r="G70" s="70" t="inlineStr">
        <is>
          <t>備考</t>
        </is>
      </c>
      <c r="H70" s="57" t="n"/>
    </row>
    <row r="71" ht="26.85" customHeight="1" s="45">
      <c r="A71" s="55" t="inlineStr">
        <is>
          <t>（例）ドメイン・サーバー初期費用</t>
        </is>
      </c>
      <c r="B71" s="55" t="inlineStr">
        <is>
          <t>〇〇サーバー</t>
        </is>
      </c>
      <c r="C71" s="73" t="n">
        <v>13200</v>
      </c>
      <c r="E71" s="55" t="inlineStr">
        <is>
          <t>（例）自己資金</t>
        </is>
      </c>
      <c r="F71" s="73" t="n">
        <v>50000</v>
      </c>
      <c r="G71" s="59" t="n"/>
      <c r="H71" s="57" t="n"/>
    </row>
    <row r="72" ht="15" customHeight="1" s="45">
      <c r="A72" s="55" t="inlineStr">
        <is>
          <t>（例）WordPressテーマ</t>
        </is>
      </c>
      <c r="B72" s="55" t="inlineStr">
        <is>
          <t>〇〇テーマ</t>
        </is>
      </c>
      <c r="C72" s="73" t="n">
        <v>17600</v>
      </c>
      <c r="E72" s="59" t="n"/>
      <c r="F72" s="76" t="n"/>
      <c r="G72" s="59" t="n"/>
      <c r="H72" s="57" t="n"/>
    </row>
    <row r="73" ht="26.85" customHeight="1" s="45">
      <c r="A73" s="55" t="inlineStr">
        <is>
          <t>（例）体験用の商品購入（セルフバック可）</t>
        </is>
      </c>
      <c r="B73" s="58" t="inlineStr">
        <is>
          <t>ASP</t>
        </is>
      </c>
      <c r="C73" s="73" t="n">
        <v>15000</v>
      </c>
      <c r="E73" s="59" t="n"/>
      <c r="F73" s="76" t="n"/>
      <c r="G73" s="59" t="n"/>
      <c r="H73" s="57" t="n"/>
    </row>
    <row r="74" ht="15" customHeight="1" s="45">
      <c r="A74" s="59" t="n"/>
      <c r="B74" s="59" t="n"/>
      <c r="C74" s="76" t="n"/>
      <c r="E74" s="59" t="n"/>
      <c r="F74" s="76" t="n"/>
      <c r="G74" s="59" t="n"/>
      <c r="H74" s="57" t="n"/>
    </row>
    <row r="75" ht="15" customHeight="1" s="45">
      <c r="A75" s="59" t="n"/>
      <c r="B75" s="59" t="n"/>
      <c r="C75" s="76" t="n"/>
      <c r="E75" s="59" t="n"/>
      <c r="F75" s="76" t="n"/>
      <c r="G75" s="59" t="n"/>
      <c r="H75" s="57" t="n"/>
    </row>
    <row r="76" ht="15" customHeight="1" s="45">
      <c r="A76" s="72" t="inlineStr">
        <is>
          <t>初期費用 合計</t>
        </is>
      </c>
      <c r="C76" s="75">
        <f>IF(COUNT(C71:C75)=0,"",SUM(C71:C75))</f>
        <v/>
      </c>
      <c r="E76" s="72" t="inlineStr">
        <is>
          <t>調達 合計</t>
        </is>
      </c>
      <c r="F76" s="75">
        <f>IF(COUNT(F71:F75)=0,"",SUM(F71:F75))</f>
        <v/>
      </c>
    </row>
    <row r="77" ht="15" customHeight="1" s="45">
      <c r="A77" s="54" t="inlineStr">
        <is>
          <t>差引（調達－費用）</t>
        </is>
      </c>
      <c r="C77" s="82">
        <f>IF(OR(C76="",F76=""),"",F76-C76)</f>
        <v/>
      </c>
    </row>
    <row r="79" ht="19.5" customHeight="1" s="45">
      <c r="A79" s="60" t="inlineStr">
        <is>
          <t>９ 事業の見通し（月平均）　← ステップ0で仮置き、ステップ5で実測に更新</t>
        </is>
      </c>
    </row>
    <row r="80" ht="26.85" customHeight="1" s="45">
      <c r="A80" s="70" t="inlineStr">
        <is>
          <t>項目</t>
        </is>
      </c>
      <c r="B80" s="70" t="inlineStr">
        <is>
          <t>創業当初（公開3か月後）</t>
        </is>
      </c>
      <c r="C80" s="71" t="inlineStr">
        <is>
          <t>12か月後（軌道に乗った後）</t>
        </is>
      </c>
      <c r="D80" s="70" t="inlineStr">
        <is>
          <t>根拠（M&amp;A実例／仮置き／実測のどれか。出典を書く）</t>
        </is>
      </c>
      <c r="E80" s="56" t="n"/>
      <c r="F80" s="56" t="n"/>
      <c r="G80" s="56" t="n"/>
      <c r="H80" s="57" t="n"/>
    </row>
    <row r="81" ht="15" customHeight="1" s="45">
      <c r="A81" s="72" t="inlineStr">
        <is>
          <t>月間PV</t>
        </is>
      </c>
      <c r="B81" s="73" t="n">
        <v>300</v>
      </c>
      <c r="C81" s="73" t="n">
        <v>4000</v>
      </c>
      <c r="D81" s="55" t="inlineStr">
        <is>
          <t>（例）M&amp;A実例：同ジャンル50記事・287PV。12か月後は逆算シートの必要PV</t>
        </is>
      </c>
      <c r="E81" s="56" t="n"/>
      <c r="F81" s="56" t="n"/>
      <c r="G81" s="56" t="n"/>
      <c r="H81" s="57" t="n"/>
    </row>
    <row r="82" ht="15" customHeight="1" s="45">
      <c r="A82" s="72" t="inlineStr">
        <is>
          <t>記事→案件ページ遷移率</t>
        </is>
      </c>
      <c r="B82" s="83" t="n">
        <v>0.1</v>
      </c>
      <c r="C82" s="83" t="n">
        <v>0.2</v>
      </c>
      <c r="D82" s="55" t="inlineStr">
        <is>
          <t>（例）仮置き。成約記事10〜30%・集客記事1〜5%の混合値。公開3か月後にGA4で実測へ</t>
        </is>
      </c>
      <c r="E82" s="56" t="n"/>
      <c r="F82" s="56" t="n"/>
      <c r="G82" s="56" t="n"/>
      <c r="H82" s="57" t="n"/>
    </row>
    <row r="83" ht="15" customHeight="1" s="45">
      <c r="A83" s="72" t="inlineStr">
        <is>
          <t>案件ページ→成約率</t>
        </is>
      </c>
      <c r="B83" s="83" t="n">
        <v>0.01</v>
      </c>
      <c r="C83" s="83" t="n">
        <v>0.01</v>
      </c>
      <c r="D83" s="55" t="inlineStr">
        <is>
          <t>（例）仮置き。有料契約系0.5〜3%の低め。ASP実測で差し替え</t>
        </is>
      </c>
      <c r="E83" s="56" t="n"/>
      <c r="F83" s="56" t="n"/>
      <c r="G83" s="56" t="n"/>
      <c r="H83" s="57" t="n"/>
    </row>
    <row r="84" ht="15" customHeight="1" s="45">
      <c r="A84" s="72" t="inlineStr">
        <is>
          <t>発生件数/月</t>
        </is>
      </c>
      <c r="B84" s="84">
        <f>IF(OR(B81="",B82="",B83=""),"",B81*B82*B83)</f>
        <v/>
      </c>
      <c r="C84" s="84">
        <f>IF(OR(C81="",C82="",C83=""),"",C81*C82*C83)</f>
        <v/>
      </c>
      <c r="D84" s="55" t="inlineStr">
        <is>
          <t>計算：PV×遷移率×成約率</t>
        </is>
      </c>
      <c r="E84" s="56" t="n"/>
      <c r="F84" s="56" t="n"/>
      <c r="G84" s="56" t="n"/>
      <c r="H84" s="57" t="n"/>
    </row>
    <row r="85" ht="15" customHeight="1" s="45">
      <c r="A85" s="72" t="inlineStr">
        <is>
          <t>確定率</t>
        </is>
      </c>
      <c r="B85" s="74" t="n">
        <v>0.7</v>
      </c>
      <c r="C85" s="74" t="n">
        <v>0.7</v>
      </c>
      <c r="D85" s="55" t="inlineStr">
        <is>
          <t>（例）主力案件の確定率（案件評価表）</t>
        </is>
      </c>
      <c r="E85" s="56" t="n"/>
      <c r="F85" s="56" t="n"/>
      <c r="G85" s="56" t="n"/>
      <c r="H85" s="57" t="n"/>
    </row>
    <row r="86" ht="15" customHeight="1" s="45">
      <c r="A86" s="72" t="inlineStr">
        <is>
          <t>確定件数/月</t>
        </is>
      </c>
      <c r="B86" s="84">
        <f>IF(OR(B84="",B85=""),"",B84*B85)</f>
        <v/>
      </c>
      <c r="C86" s="84">
        <f>IF(OR(C84="",C85=""),"",C84*C85)</f>
        <v/>
      </c>
      <c r="D86" s="55" t="inlineStr">
        <is>
          <t>計算：発生件数×確定率</t>
        </is>
      </c>
      <c r="E86" s="56" t="n"/>
      <c r="F86" s="56" t="n"/>
      <c r="G86" s="56" t="n"/>
      <c r="H86" s="57" t="n"/>
    </row>
    <row r="87" ht="15" customHeight="1" s="45">
      <c r="A87" s="85" t="inlineStr">
        <is>
          <t>1件あたり報酬（円）</t>
        </is>
      </c>
      <c r="B87" s="73" t="n">
        <v>6000</v>
      </c>
      <c r="C87" s="73" t="n">
        <v>6000</v>
      </c>
      <c r="D87" s="55" t="inlineStr">
        <is>
          <t>（例）主力案件の成果報酬。複数案件ならシェア加重</t>
        </is>
      </c>
      <c r="E87" s="56" t="n"/>
      <c r="F87" s="56" t="n"/>
      <c r="G87" s="56" t="n"/>
      <c r="H87" s="57" t="n"/>
    </row>
    <row r="88" ht="15" customHeight="1" s="45">
      <c r="A88" s="72" t="inlineStr">
        <is>
          <t>売上（確定報酬）①</t>
        </is>
      </c>
      <c r="B88" s="75">
        <f>IF(OR(B86="",B87=""),"",B86*B87)</f>
        <v/>
      </c>
      <c r="C88" s="75">
        <f>IF(OR(C86="",C87=""),"",C86*C87)</f>
        <v/>
      </c>
      <c r="D88" s="55" t="inlineStr">
        <is>
          <t>計算：確定件数×1件あたり報酬</t>
        </is>
      </c>
      <c r="E88" s="56" t="n"/>
      <c r="F88" s="56" t="n"/>
      <c r="G88" s="56" t="n"/>
      <c r="H88" s="57" t="n"/>
    </row>
    <row r="89" ht="15" customHeight="1" s="45">
      <c r="A89" s="72" t="inlineStr">
        <is>
          <t>経費②（固定費＋外注）</t>
        </is>
      </c>
      <c r="B89" s="75">
        <f>IF(創業計画書!B67="","",創業計画書!B67)</f>
        <v/>
      </c>
      <c r="C89" s="75">
        <f>IF(創業計画書!B67="","",創業計画書!B67)</f>
        <v/>
      </c>
      <c r="D89" s="55" t="inlineStr">
        <is>
          <t>計算：７の固定費合計。外注を使うなら手で足す</t>
        </is>
      </c>
      <c r="E89" s="56" t="n"/>
      <c r="F89" s="56" t="n"/>
      <c r="G89" s="56" t="n"/>
      <c r="H89" s="57" t="n"/>
    </row>
    <row r="90" ht="15" customHeight="1" s="45">
      <c r="A90" s="72" t="inlineStr">
        <is>
          <t>利益 ①－②</t>
        </is>
      </c>
      <c r="B90" s="82">
        <f>IF(OR(B88="",B89=""),"",B88-B89)</f>
        <v/>
      </c>
      <c r="C90" s="82">
        <f>IF(OR(C88="",C89=""),"",C88-C89)</f>
        <v/>
      </c>
      <c r="D90" s="55" t="inlineStr">
        <is>
          <t>計算</t>
        </is>
      </c>
      <c r="E90" s="56" t="n"/>
      <c r="F90" s="56" t="n"/>
      <c r="G90" s="56" t="n"/>
      <c r="H90" s="57" t="n"/>
    </row>
    <row r="91" ht="26.85" customHeight="1" s="45">
      <c r="A91" s="54" t="inlineStr">
        <is>
          <t>目標との差（12か月後 売上 － 目標月収）</t>
        </is>
      </c>
      <c r="C91" s="82">
        <f>IF(OR(C88="",B6=""),"",C88-B6)</f>
        <v/>
      </c>
    </row>
    <row r="93" ht="19.5" customHeight="1" s="45">
      <c r="A93" s="60" t="inlineStr">
        <is>
          <t>１０ 自由記述（不安・リスク・欲しいアドバイス。創業計画書チャットに出すときの質問）</t>
        </is>
      </c>
    </row>
    <row r="94" ht="15" customHeight="1" s="45">
      <c r="A94" s="62" t="inlineStr">
        <is>
          <t>（例）主力案件の確定率が「ー」で仮置きしている。成果地点が「本体購入」なので遠いと感じるが、レビュー記事で押し切れるか意見がほしい</t>
        </is>
      </c>
      <c r="B94" s="63" t="n"/>
      <c r="C94" s="63" t="n"/>
      <c r="D94" s="63" t="n"/>
      <c r="E94" s="63" t="n"/>
      <c r="F94" s="63" t="n"/>
      <c r="G94" s="63" t="n"/>
      <c r="H94" s="64" t="n"/>
    </row>
    <row r="95" ht="15" customHeight="1" s="45">
      <c r="A95" s="65" t="n"/>
      <c r="H95" s="66" t="n"/>
    </row>
    <row r="96" ht="15" customHeight="1" s="45">
      <c r="A96" s="65" t="n"/>
      <c r="H96" s="66" t="n"/>
    </row>
    <row r="97" ht="15" customHeight="1" s="45">
      <c r="A97" s="67" t="n"/>
      <c r="B97" s="68" t="n"/>
      <c r="C97" s="68" t="n"/>
      <c r="D97" s="68" t="n"/>
      <c r="E97" s="68" t="n"/>
      <c r="F97" s="68" t="n"/>
      <c r="G97" s="68" t="n"/>
      <c r="H97" s="69" t="n"/>
    </row>
  </sheetData>
  <mergeCells count="58">
    <mergeCell ref="B37:H39"/>
    <mergeCell ref="C63:H63"/>
    <mergeCell ref="A48:H48"/>
    <mergeCell ref="C65:H65"/>
    <mergeCell ref="G52:H52"/>
    <mergeCell ref="D81:H81"/>
    <mergeCell ref="B43:H44"/>
    <mergeCell ref="G71:H71"/>
    <mergeCell ref="D90:H90"/>
    <mergeCell ref="B34:H36"/>
    <mergeCell ref="B19:H21"/>
    <mergeCell ref="A11:H11"/>
    <mergeCell ref="B15:H15"/>
    <mergeCell ref="D80:H80"/>
    <mergeCell ref="D84:H84"/>
    <mergeCell ref="G70:H70"/>
    <mergeCell ref="A79:H79"/>
    <mergeCell ref="A61:H61"/>
    <mergeCell ref="A69:H69"/>
    <mergeCell ref="D86:H86"/>
    <mergeCell ref="A41:H41"/>
    <mergeCell ref="B16:H16"/>
    <mergeCell ref="G53:H53"/>
    <mergeCell ref="B7:H9"/>
    <mergeCell ref="G74:H74"/>
    <mergeCell ref="G49:H49"/>
    <mergeCell ref="B24:H25"/>
    <mergeCell ref="B31:H33"/>
    <mergeCell ref="B18:H18"/>
    <mergeCell ref="C66:H66"/>
    <mergeCell ref="D87:H87"/>
    <mergeCell ref="A57:H57"/>
    <mergeCell ref="B12:H12"/>
    <mergeCell ref="A58:H59"/>
    <mergeCell ref="A5:H5"/>
    <mergeCell ref="A23:H23"/>
    <mergeCell ref="A94:H97"/>
    <mergeCell ref="G55:H55"/>
    <mergeCell ref="B45:H46"/>
    <mergeCell ref="G73:H73"/>
    <mergeCell ref="B14:H14"/>
    <mergeCell ref="B3:D3"/>
    <mergeCell ref="G51:H51"/>
    <mergeCell ref="C62:H62"/>
    <mergeCell ref="B17:H17"/>
    <mergeCell ref="D83:H83"/>
    <mergeCell ref="B13:H13"/>
    <mergeCell ref="G54:H54"/>
    <mergeCell ref="D82:H82"/>
    <mergeCell ref="D89:H89"/>
    <mergeCell ref="G50:H50"/>
    <mergeCell ref="G75:H75"/>
    <mergeCell ref="C64:H64"/>
    <mergeCell ref="D85:H85"/>
    <mergeCell ref="A93:H93"/>
    <mergeCell ref="D88:H88"/>
    <mergeCell ref="B2:D2"/>
    <mergeCell ref="G72:H72"/>
  </mergeCells>
  <dataValidations count="1">
    <dataValidation sqref="F6" showDropDown="0" showInputMessage="0" showErrorMessage="0" allowBlank="1" type="list" errorStyle="stop" operator="between">
      <formula1>"高単価型,中単価型,低単価型"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0" customWidth="1" style="44" min="1" max="1"/>
    <col width="16" customWidth="1" style="44" min="2" max="4"/>
    <col width="18" customWidth="1" style="44" min="5" max="6"/>
    <col width="26" customWidth="1" style="44" min="7" max="7"/>
    <col width="14" customWidth="1" style="44" min="8" max="8"/>
  </cols>
  <sheetData>
    <row r="1" ht="19.4" customHeight="1" s="45">
      <c r="A1" s="86" t="inlineStr">
        <is>
          <t>逆算・見通し（ステップ0）</t>
        </is>
      </c>
    </row>
    <row r="3" ht="19.5" customHeight="1" s="45">
      <c r="A3" s="87" t="inlineStr">
        <is>
          <t>A. ラッコM&amp;Aの実データ（候補ジャンルごとに成約事例を3件以上）</t>
        </is>
      </c>
    </row>
    <row r="4" ht="15" customHeight="1" s="45">
      <c r="A4" s="70" t="inlineStr">
        <is>
          <t>ジャンル</t>
        </is>
      </c>
      <c r="B4" s="70" t="inlineStr">
        <is>
          <t>売上/月（円）</t>
        </is>
      </c>
      <c r="C4" s="71" t="inlineStr">
        <is>
          <t>PV/月</t>
        </is>
      </c>
      <c r="D4" s="70" t="inlineStr">
        <is>
          <t>記事数</t>
        </is>
      </c>
      <c r="E4" s="70" t="inlineStr">
        <is>
          <t>売上÷PV（円/PV）</t>
        </is>
      </c>
      <c r="F4" s="71" t="inlineStr">
        <is>
          <t>PV÷記事数（PV/記事）</t>
        </is>
      </c>
      <c r="G4" s="70" t="inlineStr">
        <is>
          <t>収益源（案件・ASP）</t>
        </is>
      </c>
      <c r="H4" s="70" t="inlineStr">
        <is>
          <t>取得日</t>
        </is>
      </c>
    </row>
    <row r="5" ht="15" customHeight="1" s="45">
      <c r="A5" s="55" t="inlineStr">
        <is>
          <t>（例）宅食レビュー</t>
        </is>
      </c>
      <c r="B5" s="73" t="n">
        <v>7500</v>
      </c>
      <c r="C5" s="73" t="n">
        <v>287</v>
      </c>
      <c r="D5" s="73" t="n">
        <v>50</v>
      </c>
      <c r="E5" s="84">
        <f>IF(OR(B5="",C5="",C5=0),"",B5/C5)</f>
        <v/>
      </c>
      <c r="F5" s="88">
        <f>IF(OR(C5="",D5="",D5=0),"",C5/D5)</f>
        <v/>
      </c>
      <c r="G5" s="58" t="inlineStr">
        <is>
          <t>nosh・つくりおき.jp（A8）</t>
        </is>
      </c>
      <c r="H5" s="58" t="inlineStr">
        <is>
          <t>2026-09-17</t>
        </is>
      </c>
    </row>
    <row r="6" ht="15" customHeight="1" s="45">
      <c r="A6" s="55" t="inlineStr">
        <is>
          <t>（例）見守りGPS</t>
        </is>
      </c>
      <c r="B6" s="73" t="n">
        <v>30000</v>
      </c>
      <c r="C6" s="73" t="n">
        <v>6000</v>
      </c>
      <c r="D6" s="73" t="n">
        <v>80</v>
      </c>
      <c r="E6" s="84">
        <f>IF(OR(B6="",C6="",C6=0),"",B6/C6)</f>
        <v/>
      </c>
      <c r="F6" s="88">
        <f>IF(OR(C6="",D6="",D6=0),"",C6/D6)</f>
        <v/>
      </c>
      <c r="G6" s="55" t="inlineStr">
        <is>
          <t>〇〇GPS（A8）</t>
        </is>
      </c>
      <c r="H6" s="58" t="inlineStr">
        <is>
          <t>2026-09-17</t>
        </is>
      </c>
    </row>
    <row r="7" ht="15" customHeight="1" s="45">
      <c r="A7" s="55" t="inlineStr">
        <is>
          <t>（例）見守りGPS</t>
        </is>
      </c>
      <c r="B7" s="73" t="n">
        <v>12000</v>
      </c>
      <c r="C7" s="73" t="n">
        <v>2500</v>
      </c>
      <c r="D7" s="73" t="n">
        <v>40</v>
      </c>
      <c r="E7" s="84">
        <f>IF(OR(B7="",C7="",C7=0),"",B7/C7)</f>
        <v/>
      </c>
      <c r="F7" s="88">
        <f>IF(OR(C7="",D7="",D7=0),"",C7/D7)</f>
        <v/>
      </c>
      <c r="G7" s="58" t="inlineStr">
        <is>
          <t>△△GPS（もしも）</t>
        </is>
      </c>
      <c r="H7" s="58" t="inlineStr">
        <is>
          <t>2026-09-17</t>
        </is>
      </c>
    </row>
    <row r="8" ht="15" customHeight="1" s="45">
      <c r="A8" s="59" t="n"/>
      <c r="B8" s="76" t="n"/>
      <c r="C8" s="76" t="n"/>
      <c r="D8" s="76" t="n"/>
      <c r="E8" s="84">
        <f>IF(OR(B8="",C8="",C8=0),"",B8/C8)</f>
        <v/>
      </c>
      <c r="F8" s="88">
        <f>IF(OR(C8="",D8="",D8=0),"",C8/D8)</f>
        <v/>
      </c>
      <c r="G8" s="59" t="n"/>
      <c r="H8" s="59" t="n"/>
    </row>
    <row r="9" ht="15" customHeight="1" s="45">
      <c r="A9" s="59" t="n"/>
      <c r="B9" s="76" t="n"/>
      <c r="C9" s="76" t="n"/>
      <c r="D9" s="76" t="n"/>
      <c r="E9" s="84">
        <f>IF(OR(B9="",C9="",C9=0),"",B9/C9)</f>
        <v/>
      </c>
      <c r="F9" s="88">
        <f>IF(OR(C9="",D9="",D9=0),"",C9/D9)</f>
        <v/>
      </c>
      <c r="G9" s="59" t="n"/>
      <c r="H9" s="59" t="n"/>
    </row>
    <row r="10" ht="15" customHeight="1" s="45">
      <c r="A10" s="59" t="n"/>
      <c r="B10" s="76" t="n"/>
      <c r="C10" s="76" t="n"/>
      <c r="D10" s="76" t="n"/>
      <c r="E10" s="84">
        <f>IF(OR(B10="",C10="",C10=0),"",B10/C10)</f>
        <v/>
      </c>
      <c r="F10" s="88">
        <f>IF(OR(C10="",D10="",D10=0),"",C10/D10)</f>
        <v/>
      </c>
      <c r="G10" s="59" t="n"/>
      <c r="H10" s="59" t="n"/>
    </row>
    <row r="11" ht="15" customHeight="1" s="45">
      <c r="A11" s="72" t="inlineStr">
        <is>
          <t>平均（事例がある行のみ）</t>
        </is>
      </c>
      <c r="E11" s="84">
        <f>IFERROR(AVERAGE(E5:E10),"")</f>
        <v/>
      </c>
      <c r="F11" s="88">
        <f>IFERROR(AVERAGE(F5:F10),"")</f>
        <v/>
      </c>
    </row>
    <row r="13" ht="19.5" customHeight="1" s="45">
      <c r="A13" s="87" t="inlineStr">
        <is>
          <t>B. 逆算（M&amp;A実データを優先。事例がなければ仮置きを使い、根拠欄に『仮置き』と書く）</t>
        </is>
      </c>
    </row>
    <row r="14" ht="15" customHeight="1" s="45">
      <c r="A14" s="70" t="inlineStr">
        <is>
          <t>項目</t>
        </is>
      </c>
      <c r="B14" s="70" t="inlineStr">
        <is>
          <t>値</t>
        </is>
      </c>
      <c r="C14" s="70" t="inlineStr">
        <is>
          <t>根拠・出典</t>
        </is>
      </c>
      <c r="D14" s="56" t="n"/>
      <c r="E14" s="56" t="n"/>
      <c r="F14" s="56" t="n"/>
      <c r="G14" s="56" t="n"/>
      <c r="H14" s="57" t="n"/>
    </row>
    <row r="15" ht="15" customHeight="1" s="45">
      <c r="A15" s="72" t="inlineStr">
        <is>
          <t>目標月収（確定報酬・円）</t>
        </is>
      </c>
      <c r="B15" s="89">
        <f>IF(創業計画書!B6="","",創業計画書!B6)</f>
        <v/>
      </c>
      <c r="C15" s="55" t="inlineStr">
        <is>
          <t>創業計画書 １ から参照</t>
        </is>
      </c>
      <c r="D15" s="56" t="n"/>
      <c r="E15" s="56" t="n"/>
      <c r="F15" s="56" t="n"/>
      <c r="G15" s="56" t="n"/>
      <c r="H15" s="57" t="n"/>
    </row>
    <row r="16" ht="15" customHeight="1" s="45">
      <c r="A16" s="85" t="inlineStr">
        <is>
          <t>1PVあたり収益（円/PV）</t>
        </is>
      </c>
      <c r="B16" s="90">
        <f>E11</f>
        <v/>
      </c>
      <c r="C16" s="55" t="inlineStr">
        <is>
          <t>（例）A表の平均。仮置きなら「遷移率20%×成約率1%×報酬6,000円=12円/PV」のように式を書く</t>
        </is>
      </c>
      <c r="D16" s="56" t="n"/>
      <c r="E16" s="56" t="n"/>
      <c r="F16" s="56" t="n"/>
      <c r="G16" s="56" t="n"/>
      <c r="H16" s="57" t="n"/>
    </row>
    <row r="17" ht="15" customHeight="1" s="45">
      <c r="A17" s="85" t="inlineStr">
        <is>
          <t>1記事あたり月間PV</t>
        </is>
      </c>
      <c r="B17" s="91">
        <f>F11</f>
        <v/>
      </c>
      <c r="C17" s="55" t="inlineStr">
        <is>
          <t>（例）A表の平均。仮置きなら「300」</t>
        </is>
      </c>
      <c r="D17" s="56" t="n"/>
      <c r="E17" s="56" t="n"/>
      <c r="F17" s="56" t="n"/>
      <c r="G17" s="56" t="n"/>
      <c r="H17" s="57" t="n"/>
    </row>
    <row r="18" ht="15" customHeight="1" s="45">
      <c r="A18" s="72" t="inlineStr">
        <is>
          <t>必要月間PV</t>
        </is>
      </c>
      <c r="B18" s="75">
        <f>IF(OR(B15="",B16="",B16=0),"",B15/B16)</f>
        <v/>
      </c>
      <c r="C18" s="54" t="inlineStr">
        <is>
          <t>計算：目標月収 ÷ 1PVあたり収益</t>
        </is>
      </c>
      <c r="D18" s="56" t="n"/>
      <c r="E18" s="56" t="n"/>
      <c r="F18" s="56" t="n"/>
      <c r="G18" s="56" t="n"/>
      <c r="H18" s="57" t="n"/>
    </row>
    <row r="19" ht="15" customHeight="1" s="45">
      <c r="A19" s="72" t="inlineStr">
        <is>
          <t>必要記事数</t>
        </is>
      </c>
      <c r="B19" s="88">
        <f>IF(OR(B18="",B17="",B17=0),"",ROUNDUP(B18/B17,0))</f>
        <v/>
      </c>
      <c r="C19" s="54" t="inlineStr">
        <is>
          <t>計算：必要月間PV ÷ 1記事あたり月間PV（切り上げ）</t>
        </is>
      </c>
      <c r="D19" s="56" t="n"/>
      <c r="E19" s="56" t="n"/>
      <c r="F19" s="56" t="n"/>
      <c r="G19" s="56" t="n"/>
      <c r="H19" s="57" t="n"/>
    </row>
    <row r="20" ht="15" customHeight="1" s="45">
      <c r="A20" s="72" t="inlineStr">
        <is>
          <t>開始時点の既存記事数</t>
        </is>
      </c>
      <c r="B20" s="92" t="n">
        <v>0</v>
      </c>
      <c r="C20" s="55" t="inlineStr">
        <is>
          <t>新規サイトなら 0。既存サイトに当てはめる場合は、いま公開済みの記事数を入れる（すでに持っている分は書かなくてよいため）</t>
        </is>
      </c>
      <c r="D20" s="56" t="n"/>
      <c r="E20" s="56" t="n"/>
      <c r="F20" s="56" t="n"/>
      <c r="G20" s="56" t="n"/>
      <c r="H20" s="57" t="n"/>
    </row>
    <row r="21" ht="15" customHeight="1" s="45">
      <c r="A21" s="72" t="inlineStr">
        <is>
          <t>週あたり公開本数</t>
        </is>
      </c>
      <c r="B21" s="88">
        <f>IF(創業計画書!F42="","",創業計画書!F42)</f>
        <v/>
      </c>
      <c r="C21" s="54" t="inlineStr">
        <is>
          <t>創業計画書 ４ から参照（実績ベースの投下時間で決める）</t>
        </is>
      </c>
      <c r="D21" s="56" t="n"/>
      <c r="E21" s="56" t="n"/>
      <c r="F21" s="56" t="n"/>
      <c r="G21" s="56" t="n"/>
      <c r="H21" s="57" t="n"/>
    </row>
    <row r="22" ht="15" customHeight="1" s="45">
      <c r="A22" s="72" t="inlineStr">
        <is>
          <t>必要記事数に到達するまでの週数</t>
        </is>
      </c>
      <c r="B22" s="88">
        <f>IF(OR(B19="",B21="",B21=0),"",ROUNDUP(MAX(B19-N(B20),0)/B21,0))</f>
        <v/>
      </c>
      <c r="C22" s="54" t="inlineStr">
        <is>
          <t>計算：（必要記事数 － 既存記事数）÷ 週あたり本数。期限の最後3か月に書く記事は収益に計上しない（順位安定に3〜6か月）</t>
        </is>
      </c>
      <c r="D22" s="56" t="n"/>
      <c r="E22" s="56" t="n"/>
      <c r="F22" s="56" t="n"/>
      <c r="G22" s="56" t="n"/>
      <c r="H22" s="57" t="n"/>
    </row>
    <row r="23">
      <c r="A23" s="72" t="inlineStr">
        <is>
          <t>到達までの月数（目安）</t>
        </is>
      </c>
      <c r="B23" s="88">
        <f>IF(B22="","",ROUNDUP(B22/4.3,0))</f>
        <v/>
      </c>
      <c r="C23" s="54" t="inlineStr">
        <is>
          <t>計算：週数 ÷ 4.3。期限に収まらないなら、目標を下げる／単価を上げる／外注を入れる のどれかを選ぶ。「頑張る」は選択肢に入れない</t>
        </is>
      </c>
      <c r="D23" s="56" t="n"/>
      <c r="E23" s="56" t="n"/>
      <c r="F23" s="56" t="n"/>
      <c r="G23" s="56" t="n"/>
      <c r="H23" s="57" t="n"/>
    </row>
    <row r="24" ht="19.5" customHeight="1" s="45">
      <c r="A24" s="87" t="inlineStr">
        <is>
          <t>C. 12か月マイルストーン（前半6か月は公開本数だけ追う。報酬は後半から立ち上がる前提）　※累計公開本数は「開始時点の既存記事数」を含む</t>
        </is>
      </c>
    </row>
    <row r="25" ht="15" customHeight="1" s="45">
      <c r="A25" s="70" t="inlineStr">
        <is>
          <t>月</t>
        </is>
      </c>
      <c r="B25" s="70" t="inlineStr">
        <is>
          <t>年月</t>
        </is>
      </c>
      <c r="C25" s="70" t="inlineStr">
        <is>
          <t>累計公開本数（目標）</t>
        </is>
      </c>
      <c r="D25" s="70" t="inlineStr">
        <is>
          <t>累計公開本数（実績）</t>
        </is>
      </c>
      <c r="E25" s="70" t="inlineStr">
        <is>
          <t>月間PV（実績）</t>
        </is>
      </c>
      <c r="F25" s="70" t="inlineStr">
        <is>
          <t>確定報酬（目標・円）</t>
        </is>
      </c>
      <c r="G25" s="70" t="inlineStr">
        <is>
          <t>確定報酬（実績・円）</t>
        </is>
      </c>
      <c r="H25" s="70" t="inlineStr">
        <is>
          <t>メモ</t>
        </is>
      </c>
    </row>
    <row r="26" ht="15" customHeight="1" s="45">
      <c r="A26" s="81" t="inlineStr">
        <is>
          <t>1か月目</t>
        </is>
      </c>
      <c r="B26" s="58" t="inlineStr">
        <is>
          <t>2026-10</t>
        </is>
      </c>
      <c r="C26" s="88">
        <f>IF(OR($B$21="",$B$20=""),"",$B$20+$B$21*4.3*1)</f>
        <v/>
      </c>
      <c r="D26" s="92" t="n"/>
      <c r="E26" s="76" t="n"/>
      <c r="F26" s="73" t="n">
        <v>0</v>
      </c>
      <c r="G26" s="76" t="n"/>
      <c r="H26" s="59" t="n"/>
    </row>
    <row r="27" ht="15" customHeight="1" s="45">
      <c r="A27" s="81" t="inlineStr">
        <is>
          <t>2か月目</t>
        </is>
      </c>
      <c r="B27" s="59" t="n"/>
      <c r="C27" s="88">
        <f>IF(OR($B$21="",$B$20=""),"",$B$20+$B$21*4.3*2)</f>
        <v/>
      </c>
      <c r="D27" s="92" t="n"/>
      <c r="E27" s="76" t="n"/>
      <c r="F27" s="73" t="n">
        <v>0</v>
      </c>
      <c r="G27" s="76" t="n"/>
      <c r="H27" s="59" t="n"/>
    </row>
    <row r="28" ht="15" customHeight="1" s="45">
      <c r="A28" s="81" t="inlineStr">
        <is>
          <t>3か月目</t>
        </is>
      </c>
      <c r="B28" s="59" t="n"/>
      <c r="C28" s="88">
        <f>IF(OR($B$21="",$B$20=""),"",$B$20+$B$21*4.3*3)</f>
        <v/>
      </c>
      <c r="D28" s="92" t="n"/>
      <c r="E28" s="76" t="n"/>
      <c r="F28" s="73" t="n">
        <v>0</v>
      </c>
      <c r="G28" s="76" t="n"/>
      <c r="H28" s="59" t="n"/>
    </row>
    <row r="29" ht="15" customHeight="1" s="45">
      <c r="A29" s="81" t="inlineStr">
        <is>
          <t>4か月目</t>
        </is>
      </c>
      <c r="B29" s="59" t="n"/>
      <c r="C29" s="88">
        <f>IF(OR($B$21="",$B$20=""),"",$B$20+$B$21*4.3*4)</f>
        <v/>
      </c>
      <c r="D29" s="92" t="n"/>
      <c r="E29" s="76" t="n"/>
      <c r="F29" s="73" t="n">
        <v>0</v>
      </c>
      <c r="G29" s="76" t="n"/>
      <c r="H29" s="59" t="n"/>
    </row>
    <row r="30" ht="15" customHeight="1" s="45">
      <c r="A30" s="81" t="inlineStr">
        <is>
          <t>5か月目</t>
        </is>
      </c>
      <c r="B30" s="59" t="n"/>
      <c r="C30" s="88">
        <f>IF(OR($B$21="",$B$20=""),"",$B$20+$B$21*4.3*5)</f>
        <v/>
      </c>
      <c r="D30" s="92" t="n"/>
      <c r="E30" s="76" t="n"/>
      <c r="F30" s="73" t="n">
        <v>0</v>
      </c>
      <c r="G30" s="76" t="n"/>
      <c r="H30" s="59" t="n"/>
    </row>
    <row r="31" ht="15" customHeight="1" s="45">
      <c r="A31" s="81" t="inlineStr">
        <is>
          <t>6か月目</t>
        </is>
      </c>
      <c r="B31" s="59" t="n"/>
      <c r="C31" s="88">
        <f>IF(OR($B$21="",$B$20=""),"",$B$20+$B$21*4.3*6)</f>
        <v/>
      </c>
      <c r="D31" s="92" t="n"/>
      <c r="E31" s="76" t="n"/>
      <c r="F31" s="73" t="n">
        <v>0</v>
      </c>
      <c r="G31" s="76" t="n"/>
      <c r="H31" s="59" t="n"/>
    </row>
    <row r="32" ht="15" customHeight="1" s="45">
      <c r="A32" s="81" t="inlineStr">
        <is>
          <t>7か月目</t>
        </is>
      </c>
      <c r="B32" s="59" t="n"/>
      <c r="C32" s="88">
        <f>IF(OR($B$21="",$B$20=""),"",$B$20+$B$21*4.3*7)</f>
        <v/>
      </c>
      <c r="D32" s="92" t="n"/>
      <c r="E32" s="76" t="n"/>
      <c r="F32" s="76" t="n"/>
      <c r="G32" s="76" t="n"/>
      <c r="H32" s="59" t="n"/>
    </row>
    <row r="33" ht="15" customHeight="1" s="45">
      <c r="A33" s="81" t="inlineStr">
        <is>
          <t>8か月目</t>
        </is>
      </c>
      <c r="B33" s="59" t="n"/>
      <c r="C33" s="88">
        <f>IF(OR($B$21="",$B$20=""),"",$B$20+$B$21*4.3*8)</f>
        <v/>
      </c>
      <c r="D33" s="92" t="n"/>
      <c r="E33" s="76" t="n"/>
      <c r="F33" s="76" t="n"/>
      <c r="G33" s="76" t="n"/>
      <c r="H33" s="59" t="n"/>
    </row>
    <row r="34" ht="15" customHeight="1" s="45">
      <c r="A34" s="81" t="inlineStr">
        <is>
          <t>9か月目</t>
        </is>
      </c>
      <c r="B34" s="59" t="n"/>
      <c r="C34" s="88">
        <f>IF(OR($B$21="",$B$20=""),"",$B$20+$B$21*4.3*9)</f>
        <v/>
      </c>
      <c r="D34" s="92" t="n"/>
      <c r="E34" s="76" t="n"/>
      <c r="F34" s="76" t="n"/>
      <c r="G34" s="76" t="n"/>
      <c r="H34" s="59" t="n"/>
    </row>
    <row r="35" ht="15" customHeight="1" s="45">
      <c r="A35" s="81" t="inlineStr">
        <is>
          <t>10か月目</t>
        </is>
      </c>
      <c r="B35" s="59" t="n"/>
      <c r="C35" s="88">
        <f>IF(OR($B$21="",$B$20=""),"",$B$20+$B$21*4.3*10)</f>
        <v/>
      </c>
      <c r="D35" s="92" t="n"/>
      <c r="E35" s="76" t="n"/>
      <c r="F35" s="76" t="n"/>
      <c r="G35" s="76" t="n"/>
      <c r="H35" s="59" t="n"/>
    </row>
    <row r="36" ht="15" customHeight="1" s="45">
      <c r="A36" s="81" t="inlineStr">
        <is>
          <t>11か月目</t>
        </is>
      </c>
      <c r="B36" s="59" t="n"/>
      <c r="C36" s="88">
        <f>IF(OR($B$21="",$B$20=""),"",$B$20+$B$21*4.3*11)</f>
        <v/>
      </c>
      <c r="D36" s="92" t="n"/>
      <c r="E36" s="76" t="n"/>
      <c r="F36" s="76" t="n"/>
      <c r="G36" s="76" t="n"/>
      <c r="H36" s="59" t="n"/>
    </row>
    <row r="37" ht="15" customHeight="1" s="45">
      <c r="A37" s="81" t="inlineStr">
        <is>
          <t>12か月目</t>
        </is>
      </c>
      <c r="B37" s="59" t="n"/>
      <c r="C37" s="88">
        <f>IF(OR($B$21="",$B$20=""),"",$B$20+$B$21*4.3*12)</f>
        <v/>
      </c>
      <c r="D37" s="92" t="n"/>
      <c r="E37" s="76" t="n"/>
      <c r="F37" s="76" t="n"/>
      <c r="G37" s="76" t="n"/>
      <c r="H37" s="59" t="n"/>
    </row>
  </sheetData>
  <mergeCells count="13">
    <mergeCell ref="C20:H20"/>
    <mergeCell ref="A3:H3"/>
    <mergeCell ref="C16:H16"/>
    <mergeCell ref="C19:H19"/>
    <mergeCell ref="C14:H14"/>
    <mergeCell ref="C22:H22"/>
    <mergeCell ref="A24:H24"/>
    <mergeCell ref="C23:H23"/>
    <mergeCell ref="A13:H13"/>
    <mergeCell ref="C18:H18"/>
    <mergeCell ref="C17:H17"/>
    <mergeCell ref="C21:H21"/>
    <mergeCell ref="C15:H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44" min="1" max="1"/>
    <col width="12" customWidth="1" style="44" min="2" max="3"/>
    <col width="20" customWidth="1" style="44" min="4" max="4"/>
    <col width="12" customWidth="1" style="44" min="5" max="5"/>
    <col width="8" customWidth="1" style="44" min="6" max="6"/>
    <col width="9" customWidth="1" style="44" min="7" max="7"/>
    <col width="12" customWidth="1" style="44" min="8" max="8"/>
    <col width="16" customWidth="1" style="44" min="9" max="9"/>
    <col width="18" customWidth="1" style="44" min="10" max="10"/>
    <col width="14" customWidth="1" style="44" min="11" max="11"/>
    <col width="9" customWidth="1" style="44" min="12" max="13"/>
    <col width="26" customWidth="1" style="44" min="14" max="14"/>
    <col width="12" customWidth="1" style="44" min="15" max="15"/>
  </cols>
  <sheetData>
    <row r="1" ht="16.4" customHeight="1" s="45">
      <c r="A1" s="93" t="inlineStr">
        <is>
          <t>案件評価表（ステップ1）　優先順位：成果報酬 ＞ 成果条件 ＞ EPC ＞ 確定率。「ー」はそのまま「ー」と書き、成果条件で解釈して保留に置く。成果報酬が料率（例「購入10%」）の案件は、期待報酬が空欄になるので円換算してメモ欄に書く</t>
        </is>
      </c>
    </row>
    <row r="3" ht="15" customHeight="1" s="45">
      <c r="A3" s="70" t="inlineStr">
        <is>
          <t>案件名</t>
        </is>
      </c>
      <c r="B3" s="71" t="inlineStr">
        <is>
          <t>ASP</t>
        </is>
      </c>
      <c r="C3" s="70" t="inlineStr">
        <is>
          <t>成果報酬（円）</t>
        </is>
      </c>
      <c r="D3" s="70" t="inlineStr">
        <is>
          <t>成果条件（成果地点）</t>
        </is>
      </c>
      <c r="E3" s="70" t="inlineStr">
        <is>
          <t>成果地点の近さ</t>
        </is>
      </c>
      <c r="F3" s="71" t="inlineStr">
        <is>
          <t>EPC</t>
        </is>
      </c>
      <c r="G3" s="70" t="inlineStr">
        <is>
          <t>確定率</t>
        </is>
      </c>
      <c r="H3" s="70" t="inlineStr">
        <is>
          <t>期待報酬（円）</t>
        </is>
      </c>
      <c r="I3" s="70" t="inlineStr">
        <is>
          <t>体験資産との適合</t>
        </is>
      </c>
      <c r="J3" s="71" t="inlineStr">
        <is>
          <t>NG表現・承認条件</t>
        </is>
      </c>
      <c r="K3" s="70" t="inlineStr">
        <is>
          <t>関連KWの広がり</t>
        </is>
      </c>
      <c r="L3" s="70" t="inlineStr">
        <is>
          <t>判定</t>
        </is>
      </c>
      <c r="M3" s="70" t="inlineStr">
        <is>
          <t>主力/サブ</t>
        </is>
      </c>
      <c r="N3" s="70" t="inlineStr">
        <is>
          <t>落選・保留の理由</t>
        </is>
      </c>
      <c r="O3" s="70" t="inlineStr">
        <is>
          <t>取得日</t>
        </is>
      </c>
    </row>
    <row r="4" ht="15" customHeight="1" s="45">
      <c r="A4" s="55" t="inlineStr">
        <is>
          <t>（例）〇〇GPS 本体購入</t>
        </is>
      </c>
      <c r="B4" s="58" t="inlineStr">
        <is>
          <t>A8.net</t>
        </is>
      </c>
      <c r="C4" s="73" t="n">
        <v>6000</v>
      </c>
      <c r="D4" s="55" t="inlineStr">
        <is>
          <t>本体購入完了</t>
        </is>
      </c>
      <c r="E4" s="55" t="inlineStr">
        <is>
          <t>遠い</t>
        </is>
      </c>
      <c r="F4" s="55" t="n">
        <v>85</v>
      </c>
      <c r="G4" s="74" t="n">
        <v>0.7</v>
      </c>
      <c r="H4" s="75">
        <f>IF(OR(NOT(ISNUMBER(C4)),NOT(ISNUMBER(G4))),"",C4*G4)</f>
        <v/>
      </c>
      <c r="I4" s="55" t="inlineStr">
        <is>
          <t>今書ける（所有）</t>
        </is>
      </c>
      <c r="J4" s="55" t="inlineStr">
        <is>
          <t>医療・安全の断定NG</t>
        </is>
      </c>
      <c r="K4" s="55" t="inlineStr">
        <is>
          <t>商標＋悩みKWで広がる</t>
        </is>
      </c>
      <c r="L4" s="55" t="inlineStr">
        <is>
          <t>候補</t>
        </is>
      </c>
      <c r="M4" s="58" t="inlineStr">
        <is>
          <t>主力</t>
        </is>
      </c>
      <c r="N4" s="55" t="n"/>
      <c r="O4" s="44" t="inlineStr">
        <is>
          <t>2026-09-17</t>
        </is>
      </c>
    </row>
    <row r="5" ht="15" customHeight="1" s="45">
      <c r="A5" s="55" t="inlineStr">
        <is>
          <t>（例）△△VPN 有料契約</t>
        </is>
      </c>
      <c r="B5" s="58" t="inlineStr">
        <is>
          <t>afb</t>
        </is>
      </c>
      <c r="C5" s="73" t="n">
        <v>4000</v>
      </c>
      <c r="D5" s="55" t="inlineStr">
        <is>
          <t>有料プラン契約</t>
        </is>
      </c>
      <c r="E5" s="55" t="inlineStr">
        <is>
          <t>遠い</t>
        </is>
      </c>
      <c r="F5" s="55" t="inlineStr">
        <is>
          <t>ー</t>
        </is>
      </c>
      <c r="G5" s="74" t="n">
        <v>0.8</v>
      </c>
      <c r="H5" s="75">
        <f>IF(OR(NOT(ISNUMBER(C5)),NOT(ISNUMBER(G5))),"",C5*G5)</f>
        <v/>
      </c>
      <c r="I5" s="55" t="inlineStr">
        <is>
          <t>今書ける（契約中）</t>
        </is>
      </c>
      <c r="J5" s="55" t="inlineStr">
        <is>
          <t>割引率の表記条件あり</t>
        </is>
      </c>
      <c r="K5" s="55" t="inlineStr">
        <is>
          <t>広がる</t>
        </is>
      </c>
      <c r="L5" s="55" t="inlineStr">
        <is>
          <t>候補</t>
        </is>
      </c>
      <c r="M5" s="58" t="inlineStr">
        <is>
          <t>サブ</t>
        </is>
      </c>
      <c r="N5" s="55" t="n"/>
      <c r="O5" s="44" t="inlineStr">
        <is>
          <t>2026-09-17</t>
        </is>
      </c>
    </row>
    <row r="6" ht="52.2" customHeight="1" s="45">
      <c r="A6" s="55" t="inlineStr">
        <is>
          <t>（例）□□見守りアプリ 無料登録</t>
        </is>
      </c>
      <c r="B6" s="58" t="inlineStr">
        <is>
          <t>A8.net</t>
        </is>
      </c>
      <c r="C6" s="73" t="n">
        <v>1500</v>
      </c>
      <c r="D6" s="55" t="inlineStr">
        <is>
          <t>無料会員登録</t>
        </is>
      </c>
      <c r="E6" s="55" t="inlineStr">
        <is>
          <t>近い</t>
        </is>
      </c>
      <c r="F6" s="55" t="inlineStr">
        <is>
          <t>ー</t>
        </is>
      </c>
      <c r="G6" s="55" t="inlineStr">
        <is>
          <t>ー</t>
        </is>
      </c>
      <c r="H6" s="75">
        <f>IF(OR(NOT(ISNUMBER(C6)),NOT(ISNUMBER(G6))),"",C6*G6)</f>
        <v/>
      </c>
      <c r="I6" s="55" t="inlineStr">
        <is>
          <t>体験する計画を立てられる</t>
        </is>
      </c>
      <c r="J6" s="55" t="n"/>
      <c r="K6" s="55" t="inlineStr">
        <is>
          <t>商標のみ</t>
        </is>
      </c>
      <c r="L6" s="55" t="inlineStr">
        <is>
          <t>保留</t>
        </is>
      </c>
      <c r="M6" s="55" t="n"/>
      <c r="N6" s="55" t="inlineStr">
        <is>
          <t>報酬が2,000円未満。成果地点は近いので保留</t>
        </is>
      </c>
      <c r="O6" s="44" t="inlineStr">
        <is>
          <t>2026-09-17</t>
        </is>
      </c>
    </row>
    <row r="7" ht="15" customHeight="1" s="45">
      <c r="A7" s="59" t="n"/>
      <c r="B7" s="59" t="n"/>
      <c r="C7" s="76" t="n"/>
      <c r="D7" s="59" t="n"/>
      <c r="E7" s="59" t="n"/>
      <c r="F7" s="59" t="n"/>
      <c r="G7" s="59" t="n"/>
      <c r="H7" s="75">
        <f>IF(OR(NOT(ISNUMBER(C7)),NOT(ISNUMBER(G7))),"",C7*G7)</f>
        <v/>
      </c>
      <c r="I7" s="59" t="n"/>
      <c r="J7" s="59" t="n"/>
      <c r="K7" s="59" t="n"/>
      <c r="L7" s="59" t="n"/>
      <c r="M7" s="59" t="n"/>
      <c r="N7" s="59" t="n"/>
      <c r="O7" s="59" t="n"/>
    </row>
    <row r="8" ht="15" customHeight="1" s="45">
      <c r="A8" s="59" t="n"/>
      <c r="B8" s="59" t="n"/>
      <c r="C8" s="76" t="n"/>
      <c r="D8" s="59" t="n"/>
      <c r="E8" s="59" t="n"/>
      <c r="F8" s="59" t="n"/>
      <c r="G8" s="59" t="n"/>
      <c r="H8" s="75">
        <f>IF(OR(NOT(ISNUMBER(C8)),NOT(ISNUMBER(G8))),"",C8*G8)</f>
        <v/>
      </c>
      <c r="I8" s="59" t="n"/>
      <c r="J8" s="59" t="n"/>
      <c r="K8" s="59" t="n"/>
      <c r="L8" s="59" t="n"/>
      <c r="M8" s="59" t="n"/>
      <c r="N8" s="59" t="n"/>
      <c r="O8" s="59" t="n"/>
    </row>
    <row r="9" ht="15" customHeight="1" s="45">
      <c r="A9" s="59" t="n"/>
      <c r="B9" s="59" t="n"/>
      <c r="C9" s="76" t="n"/>
      <c r="D9" s="59" t="n"/>
      <c r="E9" s="59" t="n"/>
      <c r="F9" s="59" t="n"/>
      <c r="G9" s="59" t="n"/>
      <c r="H9" s="75">
        <f>IF(OR(NOT(ISNUMBER(C9)),NOT(ISNUMBER(G9))),"",C9*G9)</f>
        <v/>
      </c>
      <c r="I9" s="59" t="n"/>
      <c r="J9" s="59" t="n"/>
      <c r="K9" s="59" t="n"/>
      <c r="L9" s="59" t="n"/>
      <c r="M9" s="59" t="n"/>
      <c r="N9" s="59" t="n"/>
      <c r="O9" s="59" t="n"/>
    </row>
    <row r="10" ht="15" customHeight="1" s="45">
      <c r="A10" s="59" t="n"/>
      <c r="B10" s="59" t="n"/>
      <c r="C10" s="76" t="n"/>
      <c r="D10" s="59" t="n"/>
      <c r="E10" s="59" t="n"/>
      <c r="F10" s="59" t="n"/>
      <c r="G10" s="59" t="n"/>
      <c r="H10" s="75">
        <f>IF(OR(NOT(ISNUMBER(C10)),NOT(ISNUMBER(G10))),"",C10*G10)</f>
        <v/>
      </c>
      <c r="I10" s="59" t="n"/>
      <c r="J10" s="59" t="n"/>
      <c r="K10" s="59" t="n"/>
      <c r="L10" s="59" t="n"/>
      <c r="M10" s="59" t="n"/>
      <c r="N10" s="59" t="n"/>
      <c r="O10" s="59" t="n"/>
    </row>
    <row r="11" ht="15" customHeight="1" s="45">
      <c r="A11" s="59" t="n"/>
      <c r="B11" s="59" t="n"/>
      <c r="C11" s="76" t="n"/>
      <c r="D11" s="59" t="n"/>
      <c r="E11" s="59" t="n"/>
      <c r="F11" s="59" t="n"/>
      <c r="G11" s="59" t="n"/>
      <c r="H11" s="75">
        <f>IF(OR(NOT(ISNUMBER(C11)),NOT(ISNUMBER(G11))),"",C11*G11)</f>
        <v/>
      </c>
      <c r="I11" s="59" t="n"/>
      <c r="J11" s="59" t="n"/>
      <c r="K11" s="59" t="n"/>
      <c r="L11" s="59" t="n"/>
      <c r="M11" s="59" t="n"/>
      <c r="N11" s="59" t="n"/>
      <c r="O11" s="59" t="n"/>
    </row>
  </sheetData>
  <dataValidations count="4">
    <dataValidation sqref="E4:E200" showDropDown="0" showInputMessage="0" showErrorMessage="0" allowBlank="1" type="list" errorStyle="stop" operator="between">
      <formula1>"近い,中,遠い"</formula1>
      <formula2>0</formula2>
    </dataValidation>
    <dataValidation sqref="I4:I200" showDropDown="0" showInputMessage="0" showErrorMessage="0" allowBlank="1" type="list" errorStyle="stop" operator="between">
      <formula1>"今書ける（所有）,今書ける（契約中）,体験する計画を立てられる,体験する気がない"</formula1>
      <formula2>0</formula2>
    </dataValidation>
    <dataValidation sqref="L4:L200" showDropDown="0" showInputMessage="0" showErrorMessage="0" allowBlank="1" type="list" errorStyle="stop" operator="between">
      <formula1>"候補,保留,落選"</formula1>
      <formula2>0</formula2>
    </dataValidation>
    <dataValidation sqref="M4:M200" showDropDown="0" showInputMessage="0" showErrorMessage="0" allowBlank="1" type="list" errorStyle="stop" operator="between">
      <formula1>"主力,サブ,"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W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28" customWidth="1" style="44" min="1" max="1"/>
    <col width="9" customWidth="1" style="44" min="2" max="2"/>
    <col width="8" customWidth="1" style="44" min="3" max="4"/>
    <col width="6" customWidth="1" style="44" min="5" max="14"/>
    <col width="8" customWidth="1" style="44" min="15" max="15"/>
    <col width="10" customWidth="1" style="44" min="16" max="16"/>
    <col width="12" customWidth="1" style="44" min="17" max="17"/>
    <col width="9" customWidth="1" style="44" min="18" max="18"/>
    <col width="10" customWidth="1" style="44" min="19" max="19"/>
    <col width="9" customWidth="1" style="44" min="20" max="20"/>
    <col width="20" customWidth="1" style="44" min="21" max="21"/>
    <col width="11" customWidth="1" style="44" min="22" max="22"/>
    <col width="30" customWidth="1" style="44" min="23" max="23"/>
  </cols>
  <sheetData>
    <row r="1" ht="16.4" customHeight="1" s="45">
      <c r="A1" s="94" t="inlineStr">
        <is>
          <t>KW一覧（ステップ2）　シークレットモードで1KWずつ検索。DA10未満＝緑、20未満＝黄。判断は自分の目、転記はAI</t>
        </is>
      </c>
    </row>
    <row r="3" ht="39.55" customHeight="1" s="45">
      <c r="A3" s="71" t="inlineStr">
        <is>
          <t>KW</t>
        </is>
      </c>
      <c r="B3" s="70" t="inlineStr">
        <is>
          <t>検索vol</t>
        </is>
      </c>
      <c r="C3" s="71" t="inlineStr">
        <is>
          <t>CPC</t>
        </is>
      </c>
      <c r="D3" s="70" t="inlineStr">
        <is>
          <t>競合性</t>
        </is>
      </c>
      <c r="E3" s="71" t="inlineStr">
        <is>
          <t>1位DA</t>
        </is>
      </c>
      <c r="F3" s="71" t="inlineStr">
        <is>
          <t>2位DA</t>
        </is>
      </c>
      <c r="G3" s="71" t="inlineStr">
        <is>
          <t>3位DA</t>
        </is>
      </c>
      <c r="H3" s="71" t="inlineStr">
        <is>
          <t>4位DA</t>
        </is>
      </c>
      <c r="I3" s="71" t="inlineStr">
        <is>
          <t>5位DA</t>
        </is>
      </c>
      <c r="J3" s="71" t="inlineStr">
        <is>
          <t>6位DA</t>
        </is>
      </c>
      <c r="K3" s="71" t="inlineStr">
        <is>
          <t>7位DA</t>
        </is>
      </c>
      <c r="L3" s="71" t="inlineStr">
        <is>
          <t>8位DA</t>
        </is>
      </c>
      <c r="M3" s="71" t="inlineStr">
        <is>
          <t>9位DA</t>
        </is>
      </c>
      <c r="N3" s="71" t="inlineStr">
        <is>
          <t>10位DA</t>
        </is>
      </c>
      <c r="O3" s="71" t="inlineStr">
        <is>
          <t>DA平均</t>
        </is>
      </c>
      <c r="P3" s="70" t="inlineStr">
        <is>
          <t>個人ブログ数（1ページ目）</t>
        </is>
      </c>
      <c r="Q3" s="70" t="inlineStr">
        <is>
          <t>バーティカル検索</t>
        </is>
      </c>
      <c r="R3" s="70" t="inlineStr">
        <is>
          <t>クエリ判定</t>
        </is>
      </c>
      <c r="S3" s="70" t="inlineStr">
        <is>
          <t>商品が解決策になるか</t>
        </is>
      </c>
      <c r="T3" s="70" t="inlineStr">
        <is>
          <t>役割</t>
        </is>
      </c>
      <c r="U3" s="70" t="inlineStr">
        <is>
          <t>グループ（代表KW）</t>
        </is>
      </c>
      <c r="V3" s="70" t="inlineStr">
        <is>
          <t>取得日</t>
        </is>
      </c>
      <c r="W3" s="70" t="inlineStr">
        <is>
          <t>メモ（DA1桁で上位の記事の理由など）</t>
        </is>
      </c>
    </row>
    <row r="4" ht="15" customHeight="1" s="45">
      <c r="A4" s="55" t="inlineStr">
        <is>
          <t>（例）〇〇GPS 口コミ</t>
        </is>
      </c>
      <c r="B4" s="73" t="n">
        <v>320</v>
      </c>
      <c r="C4" s="73" t="n">
        <v>180</v>
      </c>
      <c r="D4" s="55" t="inlineStr">
        <is>
          <t>高</t>
        </is>
      </c>
      <c r="E4" s="58" t="n">
        <v>45</v>
      </c>
      <c r="F4" s="58" t="n">
        <v>38</v>
      </c>
      <c r="G4" s="58" t="n">
        <v>12</v>
      </c>
      <c r="H4" s="58" t="n">
        <v>9</v>
      </c>
      <c r="I4" s="58" t="n">
        <v>60</v>
      </c>
      <c r="J4" s="58" t="n">
        <v>8</v>
      </c>
      <c r="K4" s="58" t="n">
        <v>30</v>
      </c>
      <c r="L4" s="58" t="n">
        <v>25</v>
      </c>
      <c r="M4" s="58" t="n">
        <v>15</v>
      </c>
      <c r="N4" s="58" t="n">
        <v>7</v>
      </c>
      <c r="O4" s="84">
        <f>IFERROR(AVERAGE(E4:N4),"")</f>
        <v/>
      </c>
      <c r="P4" s="55" t="n">
        <v>3</v>
      </c>
      <c r="Q4" s="55" t="inlineStr">
        <is>
          <t>ショッピング</t>
        </is>
      </c>
      <c r="R4" s="58" t="inlineStr">
        <is>
          <t>Buy</t>
        </is>
      </c>
      <c r="S4" s="58" t="inlineStr">
        <is>
          <t>Yes</t>
        </is>
      </c>
      <c r="T4" s="55" t="inlineStr">
        <is>
          <t>成約</t>
        </is>
      </c>
      <c r="U4" s="55" t="inlineStr">
        <is>
          <t>〇〇GPS 口コミ</t>
        </is>
      </c>
      <c r="V4" s="58" t="inlineStr">
        <is>
          <t>2026-09-17</t>
        </is>
      </c>
      <c r="W4" s="58" t="inlineStr">
        <is>
          <t>9位はDA9の個人ブログ。実機写真が多い</t>
        </is>
      </c>
    </row>
    <row r="5" ht="15" customHeight="1" s="45">
      <c r="A5" s="55" t="inlineStr">
        <is>
          <t>（例）〇〇GPS 評判</t>
        </is>
      </c>
      <c r="B5" s="73" t="n">
        <v>110</v>
      </c>
      <c r="C5" s="73" t="n">
        <v>150</v>
      </c>
      <c r="D5" s="55" t="inlineStr">
        <is>
          <t>中</t>
        </is>
      </c>
      <c r="E5" s="58" t="n">
        <v>45</v>
      </c>
      <c r="F5" s="58" t="n">
        <v>12</v>
      </c>
      <c r="G5" s="58" t="n">
        <v>9</v>
      </c>
      <c r="H5" s="58" t="n">
        <v>38</v>
      </c>
      <c r="I5" s="58" t="n">
        <v>8</v>
      </c>
      <c r="J5" s="58" t="n">
        <v>30</v>
      </c>
      <c r="K5" s="58" t="n">
        <v>25</v>
      </c>
      <c r="L5" s="58" t="n">
        <v>15</v>
      </c>
      <c r="M5" s="58" t="n">
        <v>7</v>
      </c>
      <c r="N5" s="58" t="n">
        <v>20</v>
      </c>
      <c r="O5" s="84">
        <f>IFERROR(AVERAGE(E5:N5),"")</f>
        <v/>
      </c>
      <c r="P5" s="55" t="n">
        <v>4</v>
      </c>
      <c r="Q5" s="55" t="inlineStr">
        <is>
          <t>すべて</t>
        </is>
      </c>
      <c r="R5" s="58" t="inlineStr">
        <is>
          <t>Know</t>
        </is>
      </c>
      <c r="S5" s="58" t="inlineStr">
        <is>
          <t>Yes</t>
        </is>
      </c>
      <c r="T5" s="55" t="inlineStr">
        <is>
          <t>成約</t>
        </is>
      </c>
      <c r="U5" s="55" t="inlineStr">
        <is>
          <t>〇〇GPS 口コミ</t>
        </is>
      </c>
      <c r="V5" s="58" t="inlineStr">
        <is>
          <t>2026-09-17</t>
        </is>
      </c>
      <c r="W5" s="55" t="inlineStr">
        <is>
          <t>口コミと同グループ</t>
        </is>
      </c>
    </row>
    <row r="6" ht="15" customHeight="1" s="45">
      <c r="A6" s="55" t="inlineStr">
        <is>
          <t>（例）小学生 GPS いつから</t>
        </is>
      </c>
      <c r="B6" s="73" t="n">
        <v>90</v>
      </c>
      <c r="C6" s="73" t="n">
        <v>60</v>
      </c>
      <c r="D6" s="55" t="inlineStr">
        <is>
          <t>低</t>
        </is>
      </c>
      <c r="E6" s="58" t="n">
        <v>9</v>
      </c>
      <c r="F6" s="58" t="n">
        <v>7</v>
      </c>
      <c r="G6" s="58" t="n">
        <v>52</v>
      </c>
      <c r="H6" s="58" t="n">
        <v>12</v>
      </c>
      <c r="I6" s="58" t="n">
        <v>8</v>
      </c>
      <c r="J6" s="58" t="n">
        <v>15</v>
      </c>
      <c r="K6" s="58" t="n">
        <v>30</v>
      </c>
      <c r="L6" s="58" t="n">
        <v>6</v>
      </c>
      <c r="M6" s="58" t="n">
        <v>11</v>
      </c>
      <c r="N6" s="58" t="n">
        <v>28</v>
      </c>
      <c r="O6" s="84">
        <f>IFERROR(AVERAGE(E6:N6),"")</f>
        <v/>
      </c>
      <c r="P6" s="55" t="n">
        <v>6</v>
      </c>
      <c r="Q6" s="55" t="inlineStr">
        <is>
          <t>ニュース</t>
        </is>
      </c>
      <c r="R6" s="58" t="inlineStr">
        <is>
          <t>Know</t>
        </is>
      </c>
      <c r="S6" s="58" t="inlineStr">
        <is>
          <t>Yes</t>
        </is>
      </c>
      <c r="T6" s="55" t="inlineStr">
        <is>
          <t>集客</t>
        </is>
      </c>
      <c r="U6" s="55" t="inlineStr">
        <is>
          <t>小学生 GPS いつから</t>
        </is>
      </c>
      <c r="V6" s="58" t="inlineStr">
        <is>
          <t>2026-09-17</t>
        </is>
      </c>
      <c r="W6" s="55" t="inlineStr">
        <is>
          <t>悩みKW。主力を解決策として置ける</t>
        </is>
      </c>
    </row>
    <row r="7" ht="15" customHeight="1" s="45">
      <c r="A7" s="59" t="n"/>
      <c r="B7" s="76" t="n"/>
      <c r="C7" s="76" t="n"/>
      <c r="D7" s="59" t="n"/>
      <c r="E7" s="59" t="n"/>
      <c r="F7" s="59" t="n"/>
      <c r="G7" s="59" t="n"/>
      <c r="H7" s="59" t="n"/>
      <c r="I7" s="59" t="n"/>
      <c r="J7" s="59" t="n"/>
      <c r="K7" s="59" t="n"/>
      <c r="L7" s="59" t="n"/>
      <c r="M7" s="59" t="n"/>
      <c r="N7" s="59" t="n"/>
      <c r="O7" s="84">
        <f>IFERROR(AVERAGE(E7:N7),"")</f>
        <v/>
      </c>
      <c r="P7" s="59" t="n"/>
      <c r="Q7" s="59" t="n"/>
      <c r="R7" s="59" t="n"/>
      <c r="S7" s="59" t="n"/>
      <c r="T7" s="59" t="n"/>
      <c r="U7" s="59" t="n"/>
      <c r="V7" s="59" t="n"/>
      <c r="W7" s="59" t="n"/>
    </row>
    <row r="8" ht="15" customHeight="1" s="45">
      <c r="A8" s="59" t="n"/>
      <c r="B8" s="76" t="n"/>
      <c r="C8" s="76" t="n"/>
      <c r="D8" s="59" t="n"/>
      <c r="E8" s="59" t="n"/>
      <c r="F8" s="59" t="n"/>
      <c r="G8" s="59" t="n"/>
      <c r="H8" s="59" t="n"/>
      <c r="I8" s="59" t="n"/>
      <c r="J8" s="59" t="n"/>
      <c r="K8" s="59" t="n"/>
      <c r="L8" s="59" t="n"/>
      <c r="M8" s="59" t="n"/>
      <c r="N8" s="59" t="n"/>
      <c r="O8" s="84">
        <f>IFERROR(AVERAGE(E8:N8),"")</f>
        <v/>
      </c>
      <c r="P8" s="59" t="n"/>
      <c r="Q8" s="59" t="n"/>
      <c r="R8" s="59" t="n"/>
      <c r="S8" s="59" t="n"/>
      <c r="T8" s="59" t="n"/>
      <c r="U8" s="59" t="n"/>
      <c r="V8" s="59" t="n"/>
      <c r="W8" s="59" t="n"/>
    </row>
    <row r="9" ht="15" customHeight="1" s="45">
      <c r="A9" s="59" t="n"/>
      <c r="B9" s="76" t="n"/>
      <c r="C9" s="76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84">
        <f>IFERROR(AVERAGE(E9:N9),"")</f>
        <v/>
      </c>
      <c r="P9" s="59" t="n"/>
      <c r="Q9" s="59" t="n"/>
      <c r="R9" s="59" t="n"/>
      <c r="S9" s="59" t="n"/>
      <c r="T9" s="59" t="n"/>
      <c r="U9" s="59" t="n"/>
      <c r="V9" s="59" t="n"/>
      <c r="W9" s="59" t="n"/>
    </row>
    <row r="10" ht="15" customHeight="1" s="45">
      <c r="A10" s="59" t="n"/>
      <c r="B10" s="76" t="n"/>
      <c r="C10" s="76" t="n"/>
      <c r="D10" s="59" t="n"/>
      <c r="E10" s="59" t="n"/>
      <c r="F10" s="59" t="n"/>
      <c r="G10" s="59" t="n"/>
      <c r="H10" s="59" t="n"/>
      <c r="I10" s="59" t="n"/>
      <c r="J10" s="59" t="n"/>
      <c r="K10" s="59" t="n"/>
      <c r="L10" s="59" t="n"/>
      <c r="M10" s="59" t="n"/>
      <c r="N10" s="59" t="n"/>
      <c r="O10" s="84">
        <f>IFERROR(AVERAGE(E10:N10),"")</f>
        <v/>
      </c>
      <c r="P10" s="59" t="n"/>
      <c r="Q10" s="59" t="n"/>
      <c r="R10" s="59" t="n"/>
      <c r="S10" s="59" t="n"/>
      <c r="T10" s="59" t="n"/>
      <c r="U10" s="59" t="n"/>
      <c r="V10" s="59" t="n"/>
      <c r="W10" s="59" t="n"/>
    </row>
    <row r="11" ht="15" customHeight="1" s="45">
      <c r="A11" s="59" t="n"/>
      <c r="B11" s="76" t="n"/>
      <c r="C11" s="76" t="n"/>
      <c r="D11" s="59" t="n"/>
      <c r="E11" s="59" t="n"/>
      <c r="F11" s="59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84">
        <f>IFERROR(AVERAGE(E11:N11),"")</f>
        <v/>
      </c>
      <c r="P11" s="59" t="n"/>
      <c r="Q11" s="59" t="n"/>
      <c r="R11" s="59" t="n"/>
      <c r="S11" s="59" t="n"/>
      <c r="T11" s="59" t="n"/>
      <c r="U11" s="59" t="n"/>
      <c r="V11" s="59" t="n"/>
      <c r="W11" s="59" t="n"/>
    </row>
    <row r="12" ht="15" customHeight="1" s="45">
      <c r="A12" s="59" t="n"/>
      <c r="B12" s="76" t="n"/>
      <c r="C12" s="76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59" t="n"/>
      <c r="M12" s="59" t="n"/>
      <c r="N12" s="59" t="n"/>
      <c r="O12" s="84">
        <f>IFERROR(AVERAGE(E12:N12),"")</f>
        <v/>
      </c>
      <c r="P12" s="59" t="n"/>
      <c r="Q12" s="59" t="n"/>
      <c r="R12" s="59" t="n"/>
      <c r="S12" s="59" t="n"/>
      <c r="T12" s="59" t="n"/>
      <c r="U12" s="59" t="n"/>
      <c r="V12" s="59" t="n"/>
      <c r="W12" s="59" t="n"/>
    </row>
    <row r="13" ht="15" customHeight="1" s="45">
      <c r="A13" s="59" t="n"/>
      <c r="B13" s="76" t="n"/>
      <c r="C13" s="76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84">
        <f>IFERROR(AVERAGE(E13:N13),"")</f>
        <v/>
      </c>
      <c r="P13" s="59" t="n"/>
      <c r="Q13" s="59" t="n"/>
      <c r="R13" s="59" t="n"/>
      <c r="S13" s="59" t="n"/>
      <c r="T13" s="59" t="n"/>
      <c r="U13" s="59" t="n"/>
      <c r="V13" s="59" t="n"/>
      <c r="W13" s="59" t="n"/>
    </row>
    <row r="14" ht="15" customHeight="1" s="45">
      <c r="A14" s="59" t="n"/>
      <c r="B14" s="76" t="n"/>
      <c r="C14" s="76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84">
        <f>IFERROR(AVERAGE(E14:N14),"")</f>
        <v/>
      </c>
      <c r="P14" s="59" t="n"/>
      <c r="Q14" s="59" t="n"/>
      <c r="R14" s="59" t="n"/>
      <c r="S14" s="59" t="n"/>
      <c r="T14" s="59" t="n"/>
      <c r="U14" s="59" t="n"/>
      <c r="V14" s="59" t="n"/>
      <c r="W14" s="59" t="n"/>
    </row>
    <row r="15" ht="15" customHeight="1" s="45">
      <c r="A15" s="59" t="n"/>
      <c r="B15" s="76" t="n"/>
      <c r="C15" s="76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84">
        <f>IFERROR(AVERAGE(E15:N15),"")</f>
        <v/>
      </c>
      <c r="P15" s="59" t="n"/>
      <c r="Q15" s="59" t="n"/>
      <c r="R15" s="59" t="n"/>
      <c r="S15" s="59" t="n"/>
      <c r="T15" s="59" t="n"/>
      <c r="U15" s="59" t="n"/>
      <c r="V15" s="59" t="n"/>
      <c r="W15" s="59" t="n"/>
    </row>
    <row r="16" ht="15" customHeight="1" s="45">
      <c r="A16" s="59" t="n"/>
      <c r="B16" s="76" t="n"/>
      <c r="C16" s="76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84">
        <f>IFERROR(AVERAGE(E16:N16),"")</f>
        <v/>
      </c>
      <c r="P16" s="59" t="n"/>
      <c r="Q16" s="59" t="n"/>
      <c r="R16" s="59" t="n"/>
      <c r="S16" s="59" t="n"/>
      <c r="T16" s="59" t="n"/>
      <c r="U16" s="59" t="n"/>
      <c r="V16" s="59" t="n"/>
      <c r="W16" s="59" t="n"/>
    </row>
    <row r="17" ht="15" customHeight="1" s="45">
      <c r="A17" s="59" t="n"/>
      <c r="B17" s="76" t="n"/>
      <c r="C17" s="76" t="n"/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84">
        <f>IFERROR(AVERAGE(E17:N17),"")</f>
        <v/>
      </c>
      <c r="P17" s="59" t="n"/>
      <c r="Q17" s="59" t="n"/>
      <c r="R17" s="59" t="n"/>
      <c r="S17" s="59" t="n"/>
      <c r="T17" s="59" t="n"/>
      <c r="U17" s="59" t="n"/>
      <c r="V17" s="59" t="n"/>
      <c r="W17" s="59" t="n"/>
    </row>
    <row r="18" ht="15" customHeight="1" s="45">
      <c r="A18" s="59" t="n"/>
      <c r="B18" s="76" t="n"/>
      <c r="C18" s="76" t="n"/>
      <c r="D18" s="59" t="n"/>
      <c r="E18" s="59" t="n"/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84">
        <f>IFERROR(AVERAGE(E18:N18),"")</f>
        <v/>
      </c>
      <c r="P18" s="59" t="n"/>
      <c r="Q18" s="59" t="n"/>
      <c r="R18" s="59" t="n"/>
      <c r="S18" s="59" t="n"/>
      <c r="T18" s="59" t="n"/>
      <c r="U18" s="59" t="n"/>
      <c r="V18" s="59" t="n"/>
      <c r="W18" s="59" t="n"/>
    </row>
  </sheetData>
  <conditionalFormatting sqref="E4:O68">
    <cfRule type="expression" rank="0" priority="2" equalAverage="0" aboveAverage="0" dxfId="0" text="" percent="0" bottom="0">
      <formula>AND(E4&lt;&gt;"",E4&lt;10)</formula>
    </cfRule>
    <cfRule type="expression" rank="0" priority="3" equalAverage="0" aboveAverage="0" dxfId="1" text="" percent="0" bottom="0">
      <formula>AND(E4&lt;&gt;"",E4&lt;20)</formula>
    </cfRule>
  </conditionalFormatting>
  <dataValidations count="3">
    <dataValidation sqref="R4:R500" showDropDown="0" showInputMessage="0" showErrorMessage="0" allowBlank="1" type="list" errorStyle="stop" operator="between">
      <formula1>"Buy,Do,Go,Know"</formula1>
      <formula2>0</formula2>
    </dataValidation>
    <dataValidation sqref="S4:S500" showDropDown="0" showInputMessage="0" showErrorMessage="0" allowBlank="1" type="list" errorStyle="stop" operator="between">
      <formula1>"Yes,No"</formula1>
      <formula2>0</formula2>
    </dataValidation>
    <dataValidation sqref="T4:T500" showDropDown="0" showInputMessage="0" showErrorMessage="0" allowBlank="1" type="list" errorStyle="stop" operator="between">
      <formula1>"成約,集客,橋渡し"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Y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5390625" defaultRowHeight="15" zeroHeight="0" outlineLevelRow="0"/>
  <cols>
    <col width="7" customWidth="1" style="44" min="1" max="1"/>
    <col width="26" customWidth="1" style="44" min="2" max="3"/>
    <col width="8" customWidth="1" style="44" min="4" max="4"/>
    <col width="10" customWidth="1" style="44" min="5" max="6"/>
    <col width="8" customWidth="1" style="44" min="7" max="8"/>
    <col width="11" customWidth="1" style="44" min="9" max="9"/>
    <col width="24" customWidth="1" style="44" min="10" max="10"/>
    <col width="9" customWidth="1" style="44" min="11" max="13"/>
    <col width="8" customWidth="1" style="44" min="14" max="14"/>
    <col width="10" customWidth="1" style="44" min="15" max="15"/>
    <col width="8" customWidth="1" style="44" min="16" max="17"/>
    <col width="11" customWidth="1" style="44" min="18" max="18"/>
    <col width="16" customWidth="1" style="44" min="19" max="19"/>
    <col width="22" customWidth="1" style="44" min="20" max="20"/>
    <col width="10" customWidth="1" style="44" min="21" max="21"/>
    <col width="11" customWidth="1" style="44" min="22" max="22"/>
    <col width="20" customWidth="1" style="44" min="23" max="23"/>
    <col width="9" customWidth="1" style="44" min="24" max="24"/>
    <col width="11" customWidth="1" style="44" min="25" max="25"/>
  </cols>
  <sheetData>
    <row r="1" ht="16.4" customHeight="1" s="45">
      <c r="A1" s="93" t="inlineStr">
        <is>
          <t>記事一覧（ステップ2で作り、ステップ5で毎月1日に更新）　1グループ＝1記事。成約KWから先に書く。月に直すのは3〜5本まで</t>
        </is>
      </c>
    </row>
    <row r="3" ht="26.85" customHeight="1" s="45">
      <c r="A3" s="70" t="inlineStr">
        <is>
          <t>記事No</t>
        </is>
      </c>
      <c r="B3" s="70" t="inlineStr">
        <is>
          <t>代表KW</t>
        </is>
      </c>
      <c r="C3" s="70" t="inlineStr">
        <is>
          <t>グループ内KW</t>
        </is>
      </c>
      <c r="D3" s="70" t="inlineStr">
        <is>
          <t>役割</t>
        </is>
      </c>
      <c r="E3" s="70" t="inlineStr">
        <is>
          <t>記事タイプ</t>
        </is>
      </c>
      <c r="F3" s="70" t="inlineStr">
        <is>
          <t>流す先（記事No）</t>
        </is>
      </c>
      <c r="G3" s="70" t="inlineStr">
        <is>
          <t>優先順位</t>
        </is>
      </c>
      <c r="H3" s="70" t="inlineStr">
        <is>
          <t>状態</t>
        </is>
      </c>
      <c r="I3" s="70" t="inlineStr">
        <is>
          <t>公開日</t>
        </is>
      </c>
      <c r="J3" s="71" t="inlineStr">
        <is>
          <t>URL</t>
        </is>
      </c>
      <c r="K3" s="70" t="inlineStr">
        <is>
          <t>順位（狙ったKW）</t>
        </is>
      </c>
      <c r="L3" s="70" t="inlineStr">
        <is>
          <t>表示回数</t>
        </is>
      </c>
      <c r="M3" s="70" t="inlineStr">
        <is>
          <t>クリック数</t>
        </is>
      </c>
      <c r="N3" s="71" t="inlineStr">
        <is>
          <t>CTR</t>
        </is>
      </c>
      <c r="O3" s="70" t="inlineStr">
        <is>
          <t>案件ページクリック</t>
        </is>
      </c>
      <c r="P3" s="70" t="inlineStr">
        <is>
          <t>発生件数</t>
        </is>
      </c>
      <c r="Q3" s="70" t="inlineStr">
        <is>
          <t>確定件数</t>
        </is>
      </c>
      <c r="R3" s="70" t="inlineStr">
        <is>
          <t>確定報酬（円）</t>
        </is>
      </c>
      <c r="S3" s="70" t="inlineStr">
        <is>
          <t>詰まっている場所</t>
        </is>
      </c>
      <c r="T3" s="70" t="inlineStr">
        <is>
          <t>次の打ち手</t>
        </is>
      </c>
      <c r="U3" s="70" t="inlineStr">
        <is>
          <t>期限</t>
        </is>
      </c>
      <c r="V3" s="70" t="inlineStr">
        <is>
          <t>最終リライト日</t>
        </is>
      </c>
      <c r="W3" s="70" t="inlineStr">
        <is>
          <t>変更点</t>
        </is>
      </c>
      <c r="X3" s="70" t="inlineStr">
        <is>
          <t>初稿生存率</t>
        </is>
      </c>
      <c r="Y3" s="71" t="inlineStr">
        <is>
          <t>Level2追記日</t>
        </is>
      </c>
    </row>
    <row r="4" ht="26.85" customHeight="1" s="45">
      <c r="A4" s="55" t="n">
        <v>1</v>
      </c>
      <c r="B4" s="55" t="inlineStr">
        <is>
          <t>（例）〇〇GPS 口コミ</t>
        </is>
      </c>
      <c r="C4" s="55" t="inlineStr">
        <is>
          <t>〇〇GPS 評判／レビュー</t>
        </is>
      </c>
      <c r="D4" s="55" t="inlineStr">
        <is>
          <t>成約</t>
        </is>
      </c>
      <c r="E4" s="55" t="inlineStr">
        <is>
          <t>体験記</t>
        </is>
      </c>
      <c r="F4" s="55" t="n"/>
      <c r="G4" s="55" t="n">
        <v>1</v>
      </c>
      <c r="H4" s="55" t="inlineStr">
        <is>
          <t>公開済み</t>
        </is>
      </c>
      <c r="I4" s="58" t="inlineStr">
        <is>
          <t>2026-10-05</t>
        </is>
      </c>
      <c r="J4" s="58" t="inlineStr">
        <is>
          <t>https://example.com/gps-review</t>
        </is>
      </c>
      <c r="K4" s="55" t="n">
        <v>14</v>
      </c>
      <c r="L4" s="73" t="n">
        <v>820</v>
      </c>
      <c r="M4" s="73" t="n">
        <v>31</v>
      </c>
      <c r="N4" s="95">
        <f>IF(OR(L4="",M4="",L4=0),"",M4/L4)</f>
        <v/>
      </c>
      <c r="O4" s="73" t="n">
        <v>9</v>
      </c>
      <c r="P4" s="73" t="n">
        <v>1</v>
      </c>
      <c r="Q4" s="73" t="n">
        <v>1</v>
      </c>
      <c r="R4" s="73" t="n">
        <v>6000</v>
      </c>
      <c r="S4" s="55" t="inlineStr">
        <is>
          <t>順位10〜20位</t>
        </is>
      </c>
      <c r="T4" s="55" t="inlineStr">
        <is>
          <t>構成見直し：最初のH2を3か月の実測結果に</t>
        </is>
      </c>
      <c r="U4" s="58" t="inlineStr">
        <is>
          <t>2026-12-01</t>
        </is>
      </c>
      <c r="V4" s="55" t="n"/>
      <c r="W4" s="55" t="n"/>
      <c r="X4" s="74" t="n">
        <v>0.42</v>
      </c>
      <c r="Y4" s="58" t="inlineStr">
        <is>
          <t>2026-10-19</t>
        </is>
      </c>
    </row>
    <row r="5" ht="15" customHeight="1" s="45">
      <c r="A5" s="55" t="n">
        <v>2</v>
      </c>
      <c r="B5" s="55" t="inlineStr">
        <is>
          <t>（例）小学生 GPS いつから</t>
        </is>
      </c>
      <c r="C5" s="58" t="inlineStr">
        <is>
          <t>GPS 何歳から</t>
        </is>
      </c>
      <c r="D5" s="55" t="inlineStr">
        <is>
          <t>集客</t>
        </is>
      </c>
      <c r="E5" s="55" t="inlineStr">
        <is>
          <t>悩み解決</t>
        </is>
      </c>
      <c r="F5" s="55" t="n">
        <v>1</v>
      </c>
      <c r="G5" s="55" t="n">
        <v>2</v>
      </c>
      <c r="H5" s="55" t="inlineStr">
        <is>
          <t>執筆中</t>
        </is>
      </c>
      <c r="I5" s="55" t="n"/>
      <c r="J5" s="55" t="n"/>
      <c r="K5" s="55" t="n"/>
      <c r="L5" s="73" t="n"/>
      <c r="M5" s="73" t="n"/>
      <c r="N5" s="95">
        <f>IF(OR(L5="",M5="",L5=0),"",M5/L5)</f>
        <v/>
      </c>
      <c r="O5" s="73" t="n"/>
      <c r="P5" s="73" t="n"/>
      <c r="Q5" s="73" t="n"/>
      <c r="R5" s="73" t="n"/>
      <c r="S5" s="55" t="n"/>
      <c r="T5" s="55" t="n"/>
      <c r="U5" s="55" t="n"/>
      <c r="V5" s="55" t="n"/>
      <c r="W5" s="55" t="n"/>
      <c r="X5" s="74" t="n"/>
      <c r="Y5" s="55" t="n"/>
    </row>
    <row r="6" ht="15" customHeight="1" s="45">
      <c r="A6" s="59" t="n"/>
      <c r="B6" s="59" t="n"/>
      <c r="C6" s="59" t="n"/>
      <c r="D6" s="59" t="n"/>
      <c r="E6" s="59" t="n"/>
      <c r="F6" s="59" t="n"/>
      <c r="G6" s="59" t="n"/>
      <c r="H6" s="59" t="n"/>
      <c r="I6" s="59" t="n"/>
      <c r="J6" s="59" t="n"/>
      <c r="K6" s="59" t="n"/>
      <c r="L6" s="76" t="n"/>
      <c r="M6" s="76" t="n"/>
      <c r="N6" s="95">
        <f>IF(OR(L6="",M6="",L6=0),"",M6/L6)</f>
        <v/>
      </c>
      <c r="O6" s="76" t="n"/>
      <c r="P6" s="76" t="n"/>
      <c r="Q6" s="76" t="n"/>
      <c r="R6" s="76" t="n"/>
      <c r="S6" s="59" t="n"/>
      <c r="T6" s="59" t="n"/>
      <c r="U6" s="59" t="n"/>
      <c r="V6" s="59" t="n"/>
      <c r="W6" s="59" t="n"/>
      <c r="X6" s="77" t="n"/>
      <c r="Y6" s="59" t="n"/>
    </row>
    <row r="7" ht="15" customHeight="1" s="45">
      <c r="A7" s="59" t="n"/>
      <c r="B7" s="59" t="n"/>
      <c r="C7" s="59" t="n"/>
      <c r="D7" s="59" t="n"/>
      <c r="E7" s="59" t="n"/>
      <c r="F7" s="59" t="n"/>
      <c r="G7" s="59" t="n"/>
      <c r="H7" s="59" t="n"/>
      <c r="I7" s="59" t="n"/>
      <c r="J7" s="59" t="n"/>
      <c r="K7" s="59" t="n"/>
      <c r="L7" s="76" t="n"/>
      <c r="M7" s="76" t="n"/>
      <c r="N7" s="95">
        <f>IF(OR(L7="",M7="",L7=0),"",M7/L7)</f>
        <v/>
      </c>
      <c r="O7" s="76" t="n"/>
      <c r="P7" s="76" t="n"/>
      <c r="Q7" s="76" t="n"/>
      <c r="R7" s="76" t="n"/>
      <c r="S7" s="59" t="n"/>
      <c r="T7" s="59" t="n"/>
      <c r="U7" s="59" t="n"/>
      <c r="V7" s="59" t="n"/>
      <c r="W7" s="59" t="n"/>
      <c r="X7" s="77" t="n"/>
      <c r="Y7" s="59" t="n"/>
    </row>
    <row r="8" ht="15" customHeight="1" s="45">
      <c r="A8" s="59" t="n"/>
      <c r="B8" s="59" t="n"/>
      <c r="C8" s="59" t="n"/>
      <c r="D8" s="59" t="n"/>
      <c r="E8" s="59" t="n"/>
      <c r="F8" s="59" t="n"/>
      <c r="G8" s="59" t="n"/>
      <c r="H8" s="59" t="n"/>
      <c r="I8" s="59" t="n"/>
      <c r="J8" s="59" t="n"/>
      <c r="K8" s="59" t="n"/>
      <c r="L8" s="76" t="n"/>
      <c r="M8" s="76" t="n"/>
      <c r="N8" s="95">
        <f>IF(OR(L8="",M8="",L8=0),"",M8/L8)</f>
        <v/>
      </c>
      <c r="O8" s="76" t="n"/>
      <c r="P8" s="76" t="n"/>
      <c r="Q8" s="76" t="n"/>
      <c r="R8" s="76" t="n"/>
      <c r="S8" s="59" t="n"/>
      <c r="T8" s="59" t="n"/>
      <c r="U8" s="59" t="n"/>
      <c r="V8" s="59" t="n"/>
      <c r="W8" s="59" t="n"/>
      <c r="X8" s="77" t="n"/>
      <c r="Y8" s="59" t="n"/>
    </row>
    <row r="9" ht="15" customHeight="1" s="45">
      <c r="A9" s="59" t="n"/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76" t="n"/>
      <c r="M9" s="76" t="n"/>
      <c r="N9" s="95">
        <f>IF(OR(L9="",M9="",L9=0),"",M9/L9)</f>
        <v/>
      </c>
      <c r="O9" s="76" t="n"/>
      <c r="P9" s="76" t="n"/>
      <c r="Q9" s="76" t="n"/>
      <c r="R9" s="76" t="n"/>
      <c r="S9" s="59" t="n"/>
      <c r="T9" s="59" t="n"/>
      <c r="U9" s="59" t="n"/>
      <c r="V9" s="59" t="n"/>
      <c r="W9" s="59" t="n"/>
      <c r="X9" s="77" t="n"/>
      <c r="Y9" s="59" t="n"/>
    </row>
    <row r="10" ht="15" customHeight="1" s="45">
      <c r="A10" s="59" t="n"/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59" t="n"/>
      <c r="L10" s="76" t="n"/>
      <c r="M10" s="76" t="n"/>
      <c r="N10" s="95">
        <f>IF(OR(L10="",M10="",L10=0),"",M10/L10)</f>
        <v/>
      </c>
      <c r="O10" s="76" t="n"/>
      <c r="P10" s="76" t="n"/>
      <c r="Q10" s="76" t="n"/>
      <c r="R10" s="76" t="n"/>
      <c r="S10" s="59" t="n"/>
      <c r="T10" s="59" t="n"/>
      <c r="U10" s="59" t="n"/>
      <c r="V10" s="59" t="n"/>
      <c r="W10" s="59" t="n"/>
      <c r="X10" s="77" t="n"/>
      <c r="Y10" s="59" t="n"/>
    </row>
    <row r="11" ht="15" customHeight="1" s="45">
      <c r="A11" s="59" t="n"/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  <c r="K11" s="59" t="n"/>
      <c r="L11" s="76" t="n"/>
      <c r="M11" s="76" t="n"/>
      <c r="N11" s="95">
        <f>IF(OR(L11="",M11="",L11=0),"",M11/L11)</f>
        <v/>
      </c>
      <c r="O11" s="76" t="n"/>
      <c r="P11" s="76" t="n"/>
      <c r="Q11" s="76" t="n"/>
      <c r="R11" s="76" t="n"/>
      <c r="S11" s="59" t="n"/>
      <c r="T11" s="59" t="n"/>
      <c r="U11" s="59" t="n"/>
      <c r="V11" s="59" t="n"/>
      <c r="W11" s="59" t="n"/>
      <c r="X11" s="77" t="n"/>
      <c r="Y11" s="59" t="n"/>
    </row>
    <row r="12" ht="15" customHeight="1" s="45">
      <c r="A12" s="59" t="n"/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59" t="n"/>
      <c r="L12" s="76" t="n"/>
      <c r="M12" s="76" t="n"/>
      <c r="N12" s="95">
        <f>IF(OR(L12="",M12="",L12=0),"",M12/L12)</f>
        <v/>
      </c>
      <c r="O12" s="76" t="n"/>
      <c r="P12" s="76" t="n"/>
      <c r="Q12" s="76" t="n"/>
      <c r="R12" s="76" t="n"/>
      <c r="S12" s="59" t="n"/>
      <c r="T12" s="59" t="n"/>
      <c r="U12" s="59" t="n"/>
      <c r="V12" s="59" t="n"/>
      <c r="W12" s="59" t="n"/>
      <c r="X12" s="77" t="n"/>
      <c r="Y12" s="59" t="n"/>
    </row>
    <row r="13" ht="15" customHeight="1" s="45">
      <c r="A13" s="59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76" t="n"/>
      <c r="M13" s="76" t="n"/>
      <c r="N13" s="95">
        <f>IF(OR(L13="",M13="",L13=0),"",M13/L13)</f>
        <v/>
      </c>
      <c r="O13" s="76" t="n"/>
      <c r="P13" s="76" t="n"/>
      <c r="Q13" s="76" t="n"/>
      <c r="R13" s="76" t="n"/>
      <c r="S13" s="59" t="n"/>
      <c r="T13" s="59" t="n"/>
      <c r="U13" s="59" t="n"/>
      <c r="V13" s="59" t="n"/>
      <c r="W13" s="59" t="n"/>
      <c r="X13" s="77" t="n"/>
      <c r="Y13" s="59" t="n"/>
    </row>
    <row r="14" ht="15" customHeight="1" s="45">
      <c r="A14" s="59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76" t="n"/>
      <c r="M14" s="76" t="n"/>
      <c r="N14" s="95">
        <f>IF(OR(L14="",M14="",L14=0),"",M14/L14)</f>
        <v/>
      </c>
      <c r="O14" s="76" t="n"/>
      <c r="P14" s="76" t="n"/>
      <c r="Q14" s="76" t="n"/>
      <c r="R14" s="76" t="n"/>
      <c r="S14" s="59" t="n"/>
      <c r="T14" s="59" t="n"/>
      <c r="U14" s="59" t="n"/>
      <c r="V14" s="59" t="n"/>
      <c r="W14" s="59" t="n"/>
      <c r="X14" s="77" t="n"/>
      <c r="Y14" s="59" t="n"/>
    </row>
    <row r="15" ht="15" customHeight="1" s="45">
      <c r="A15" s="59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76" t="n"/>
      <c r="M15" s="76" t="n"/>
      <c r="N15" s="95">
        <f>IF(OR(L15="",M15="",L15=0),"",M15/L15)</f>
        <v/>
      </c>
      <c r="O15" s="76" t="n"/>
      <c r="P15" s="76" t="n"/>
      <c r="Q15" s="76" t="n"/>
      <c r="R15" s="76" t="n"/>
      <c r="S15" s="59" t="n"/>
      <c r="T15" s="59" t="n"/>
      <c r="U15" s="59" t="n"/>
      <c r="V15" s="59" t="n"/>
      <c r="W15" s="59" t="n"/>
      <c r="X15" s="77" t="n"/>
      <c r="Y15" s="59" t="n"/>
    </row>
  </sheetData>
  <dataValidations count="4">
    <dataValidation sqref="D4:D500" showDropDown="0" showInputMessage="0" showErrorMessage="0" allowBlank="1" type="list" errorStyle="stop" operator="between">
      <formula1>"成約,集客,橋渡し"</formula1>
      <formula2>0</formula2>
    </dataValidation>
    <dataValidation sqref="E4:E500" showDropDown="0" showInputMessage="0" showErrorMessage="0" allowBlank="1" type="list" errorStyle="stop" operator="between">
      <formula1>"体験記,比較,ランキング,使い方,悩み解決,知識"</formula1>
      <formula2>0</formula2>
    </dataValidation>
    <dataValidation sqref="H4:H500" showDropDown="0" showInputMessage="0" showErrorMessage="0" allowBlank="1" type="list" errorStyle="stop" operator="between">
      <formula1>"企画,構成OK,執筆中,公開待ち,公開済み"</formula1>
      <formula2>0</formula2>
    </dataValidation>
    <dataValidation sqref="S4:S500" showDropDown="0" showInputMessage="0" showErrorMessage="0" allowBlank="1" type="list" errorStyle="stop" operator="between">
      <formula1>"表示ほぼ0,21位以下,順位10〜20位,CTR低い,遷移なし,成約なし,別KWで流入,なし"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2026-09-17T01:41:51Z</dcterms:created>
  <dcterms:modified xsi:type="dcterms:W3CDTF">2026-09-17T06:17:19Z</dcterms:modified>
  <cp:revision>0</cp:revision>
</cp:coreProperties>
</file>